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0"/>
  <workbookPr/>
  <mc:AlternateContent xmlns:mc="http://schemas.openxmlformats.org/markup-compatibility/2006">
    <mc:Choice Requires="x15">
      <x15ac:absPath xmlns:x15ac="http://schemas.microsoft.com/office/spreadsheetml/2010/11/ac" url="/Users/faridnaufal/Downloads/"/>
    </mc:Choice>
  </mc:AlternateContent>
  <xr:revisionPtr revIDLastSave="0" documentId="13_ncr:1_{DD8502AC-93F4-6E41-9D23-0D41EE7E85ED}" xr6:coauthVersionLast="47" xr6:coauthVersionMax="47" xr10:uidLastSave="{00000000-0000-0000-0000-000000000000}"/>
  <bookViews>
    <workbookView minimized="1" xWindow="2840" yWindow="3620" windowWidth="24420" windowHeight="16320" activeTab="3" xr2:uid="{00000000-000D-0000-FFFF-FFFF00000000}"/>
  </bookViews>
  <sheets>
    <sheet name="Iterasi 1" sheetId="3" r:id="rId1"/>
    <sheet name="iterasi 2" sheetId="4" r:id="rId2"/>
    <sheet name="iterasi 3" sheetId="5" r:id="rId3"/>
    <sheet name="iterasi 4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7" i="4" l="1"/>
  <c r="C36" i="4"/>
  <c r="E27" i="3"/>
  <c r="D50" i="6" l="1"/>
  <c r="D51" i="6"/>
  <c r="D52" i="6"/>
  <c r="D53" i="6"/>
  <c r="D54" i="6"/>
  <c r="D55" i="6"/>
  <c r="D56" i="6"/>
  <c r="D57" i="6"/>
  <c r="D58" i="6"/>
  <c r="D59" i="6"/>
  <c r="D60" i="6"/>
  <c r="D49" i="6"/>
  <c r="C50" i="6"/>
  <c r="C51" i="6"/>
  <c r="C52" i="6"/>
  <c r="C53" i="6"/>
  <c r="C54" i="6"/>
  <c r="C55" i="6"/>
  <c r="C56" i="6"/>
  <c r="C57" i="6"/>
  <c r="C58" i="6"/>
  <c r="C59" i="6"/>
  <c r="C60" i="6"/>
  <c r="C49" i="6"/>
  <c r="E49" i="6" s="1"/>
  <c r="D44" i="6"/>
  <c r="C44" i="6"/>
  <c r="D43" i="6"/>
  <c r="C43" i="6"/>
  <c r="D42" i="6"/>
  <c r="C42" i="6"/>
  <c r="D46" i="5"/>
  <c r="D47" i="5"/>
  <c r="D48" i="5"/>
  <c r="D49" i="5"/>
  <c r="D50" i="5"/>
  <c r="D51" i="5"/>
  <c r="D52" i="5"/>
  <c r="D53" i="5"/>
  <c r="D54" i="5"/>
  <c r="D55" i="5"/>
  <c r="D56" i="5"/>
  <c r="D45" i="5"/>
  <c r="C46" i="5"/>
  <c r="C47" i="5"/>
  <c r="C48" i="5"/>
  <c r="C49" i="5"/>
  <c r="C50" i="5"/>
  <c r="C51" i="5"/>
  <c r="C52" i="5"/>
  <c r="C53" i="5"/>
  <c r="C54" i="5"/>
  <c r="C55" i="5"/>
  <c r="C56" i="5"/>
  <c r="C45" i="5"/>
  <c r="D40" i="5"/>
  <c r="C40" i="5"/>
  <c r="D39" i="5"/>
  <c r="C39" i="5"/>
  <c r="D38" i="5"/>
  <c r="C38" i="5"/>
  <c r="D44" i="4"/>
  <c r="D45" i="4"/>
  <c r="D46" i="4"/>
  <c r="D47" i="4"/>
  <c r="D48" i="4"/>
  <c r="D49" i="4"/>
  <c r="D50" i="4"/>
  <c r="D51" i="4"/>
  <c r="D52" i="4"/>
  <c r="D53" i="4"/>
  <c r="D54" i="4"/>
  <c r="D43" i="4"/>
  <c r="C44" i="4"/>
  <c r="C45" i="4"/>
  <c r="C46" i="4"/>
  <c r="C47" i="4"/>
  <c r="C48" i="4"/>
  <c r="C49" i="4"/>
  <c r="C50" i="4"/>
  <c r="C51" i="4"/>
  <c r="C52" i="4"/>
  <c r="C53" i="4"/>
  <c r="C54" i="4"/>
  <c r="C43" i="4"/>
  <c r="E43" i="4" s="1"/>
  <c r="D38" i="4"/>
  <c r="C38" i="4"/>
  <c r="D37" i="4"/>
  <c r="D36" i="4"/>
  <c r="D38" i="3"/>
  <c r="C28" i="3"/>
  <c r="C29" i="3"/>
  <c r="C30" i="3"/>
  <c r="C31" i="3"/>
  <c r="C32" i="3"/>
  <c r="C33" i="3"/>
  <c r="C34" i="3"/>
  <c r="C35" i="3"/>
  <c r="C36" i="3"/>
  <c r="C37" i="3"/>
  <c r="C38" i="3"/>
  <c r="G38" i="3" s="1"/>
  <c r="D28" i="3"/>
  <c r="D29" i="3"/>
  <c r="D30" i="3"/>
  <c r="D31" i="3"/>
  <c r="D32" i="3"/>
  <c r="D33" i="3"/>
  <c r="D34" i="3"/>
  <c r="D35" i="3"/>
  <c r="D36" i="3"/>
  <c r="D37" i="3"/>
  <c r="D27" i="3"/>
  <c r="C27" i="3"/>
  <c r="E38" i="3" l="1"/>
  <c r="G59" i="6"/>
  <c r="E53" i="6"/>
  <c r="E47" i="5"/>
  <c r="E55" i="5"/>
  <c r="E52" i="5"/>
  <c r="E48" i="5"/>
  <c r="G50" i="4"/>
  <c r="E48" i="4"/>
  <c r="E49" i="4"/>
  <c r="F45" i="4"/>
  <c r="G28" i="3"/>
  <c r="G29" i="3"/>
  <c r="G30" i="3"/>
  <c r="G31" i="3"/>
  <c r="G32" i="3"/>
  <c r="G33" i="3"/>
  <c r="G34" i="3"/>
  <c r="G35" i="3"/>
  <c r="G36" i="3"/>
  <c r="G37" i="3"/>
  <c r="G27" i="3"/>
  <c r="F28" i="3"/>
  <c r="F29" i="3"/>
  <c r="F30" i="3"/>
  <c r="F31" i="3"/>
  <c r="F32" i="3"/>
  <c r="F33" i="3"/>
  <c r="F34" i="3"/>
  <c r="F35" i="3"/>
  <c r="F36" i="3"/>
  <c r="F37" i="3"/>
  <c r="F38" i="3"/>
  <c r="F27" i="3"/>
  <c r="H27" i="3" s="1"/>
  <c r="E29" i="3"/>
  <c r="E30" i="3"/>
  <c r="E31" i="3"/>
  <c r="E32" i="3"/>
  <c r="E33" i="3"/>
  <c r="E34" i="3"/>
  <c r="E35" i="3"/>
  <c r="E36" i="3"/>
  <c r="E37" i="3"/>
  <c r="E28" i="3"/>
  <c r="G55" i="6" l="1"/>
  <c r="G60" i="6"/>
  <c r="F54" i="6"/>
  <c r="G52" i="6"/>
  <c r="H32" i="3"/>
  <c r="H36" i="3"/>
  <c r="H28" i="3"/>
  <c r="H35" i="3"/>
  <c r="H38" i="3"/>
  <c r="H30" i="3"/>
  <c r="H37" i="3"/>
  <c r="H33" i="3"/>
  <c r="H29" i="3"/>
  <c r="H31" i="3"/>
  <c r="H34" i="3"/>
  <c r="E50" i="6"/>
  <c r="E58" i="6"/>
  <c r="F49" i="5"/>
  <c r="F53" i="5"/>
  <c r="F45" i="5"/>
  <c r="F46" i="5"/>
  <c r="F50" i="5"/>
  <c r="F54" i="5"/>
  <c r="F47" i="5"/>
  <c r="F55" i="5"/>
  <c r="F48" i="5"/>
  <c r="F51" i="5"/>
  <c r="F52" i="5"/>
  <c r="H52" i="5" s="1"/>
  <c r="F56" i="5"/>
  <c r="F54" i="4"/>
  <c r="F46" i="4"/>
  <c r="G49" i="5"/>
  <c r="G53" i="5"/>
  <c r="G45" i="5"/>
  <c r="G46" i="5"/>
  <c r="G50" i="5"/>
  <c r="G54" i="5"/>
  <c r="G47" i="5"/>
  <c r="G47" i="4"/>
  <c r="G51" i="4"/>
  <c r="G43" i="4"/>
  <c r="G44" i="4"/>
  <c r="G48" i="4"/>
  <c r="G52" i="4"/>
  <c r="F53" i="4"/>
  <c r="G49" i="4"/>
  <c r="G52" i="5"/>
  <c r="E57" i="6"/>
  <c r="G51" i="6"/>
  <c r="F47" i="4"/>
  <c r="F51" i="4"/>
  <c r="F43" i="4"/>
  <c r="F44" i="4"/>
  <c r="F48" i="4"/>
  <c r="F52" i="4"/>
  <c r="E46" i="4"/>
  <c r="E50" i="4"/>
  <c r="E54" i="4"/>
  <c r="E47" i="4"/>
  <c r="E51" i="4"/>
  <c r="E52" i="4"/>
  <c r="E44" i="4"/>
  <c r="F49" i="4"/>
  <c r="G53" i="4"/>
  <c r="G45" i="4"/>
  <c r="E56" i="5"/>
  <c r="G56" i="5"/>
  <c r="G48" i="5"/>
  <c r="H48" i="5" s="1"/>
  <c r="F53" i="6"/>
  <c r="F57" i="6"/>
  <c r="F49" i="6"/>
  <c r="F52" i="6"/>
  <c r="F56" i="6"/>
  <c r="F60" i="6"/>
  <c r="G49" i="6"/>
  <c r="F58" i="6"/>
  <c r="F50" i="6"/>
  <c r="G55" i="5"/>
  <c r="F55" i="6"/>
  <c r="E52" i="6"/>
  <c r="E56" i="6"/>
  <c r="E60" i="6"/>
  <c r="H60" i="6" s="1"/>
  <c r="E51" i="6"/>
  <c r="E55" i="6"/>
  <c r="E59" i="6"/>
  <c r="E53" i="4"/>
  <c r="E45" i="4"/>
  <c r="F50" i="4"/>
  <c r="G54" i="4"/>
  <c r="G46" i="4"/>
  <c r="E49" i="5"/>
  <c r="E53" i="5"/>
  <c r="E45" i="5"/>
  <c r="E46" i="5"/>
  <c r="H46" i="5" s="1"/>
  <c r="E50" i="5"/>
  <c r="E54" i="5"/>
  <c r="E51" i="5"/>
  <c r="G51" i="5"/>
  <c r="G50" i="6"/>
  <c r="G54" i="6"/>
  <c r="G58" i="6"/>
  <c r="G53" i="6"/>
  <c r="H53" i="6" s="1"/>
  <c r="G57" i="6"/>
  <c r="F59" i="6"/>
  <c r="G56" i="6"/>
  <c r="E54" i="6"/>
  <c r="F51" i="6"/>
  <c r="H54" i="6" l="1"/>
  <c r="H47" i="5"/>
  <c r="H57" i="6"/>
  <c r="H51" i="6"/>
  <c r="H49" i="6"/>
  <c r="H45" i="5"/>
  <c r="H55" i="5"/>
  <c r="H45" i="4"/>
  <c r="H49" i="4"/>
  <c r="H48" i="4"/>
  <c r="H53" i="4"/>
  <c r="H51" i="4"/>
  <c r="H50" i="4"/>
  <c r="H47" i="4"/>
  <c r="H51" i="5"/>
  <c r="H46" i="4"/>
  <c r="H54" i="5"/>
  <c r="H56" i="6"/>
  <c r="H44" i="4"/>
  <c r="H58" i="6"/>
  <c r="H53" i="5"/>
  <c r="H59" i="6"/>
  <c r="H56" i="5"/>
  <c r="H54" i="4"/>
  <c r="H50" i="5"/>
  <c r="H49" i="5"/>
  <c r="H55" i="6"/>
  <c r="H52" i="6"/>
  <c r="H52" i="4"/>
  <c r="H43" i="4"/>
  <c r="H50" i="6"/>
</calcChain>
</file>

<file path=xl/sharedStrings.xml><?xml version="1.0" encoding="utf-8"?>
<sst xmlns="http://schemas.openxmlformats.org/spreadsheetml/2006/main" count="130" uniqueCount="28">
  <si>
    <t>1. Penentuan pusat awal cluster</t>
  </si>
  <si>
    <t>C1</t>
  </si>
  <si>
    <t>C2</t>
  </si>
  <si>
    <t>C3</t>
  </si>
  <si>
    <t>Jarak Terpendek</t>
  </si>
  <si>
    <t>No.</t>
  </si>
  <si>
    <t>Cluster baru yang ke-1</t>
  </si>
  <si>
    <t>Cluster baru yang ke-2</t>
  </si>
  <si>
    <t>Cluster baru yang ke-3</t>
  </si>
  <si>
    <t xml:space="preserve"> </t>
  </si>
  <si>
    <t xml:space="preserve">Keterangan : </t>
  </si>
  <si>
    <t>angka 1 = jarak terpendek yang terletak pada Cn</t>
  </si>
  <si>
    <t>Keterangan :</t>
  </si>
  <si>
    <t xml:space="preserve">Di ambil dok ke-8 sebagai pusat cluster ke-1   </t>
  </si>
  <si>
    <t xml:space="preserve">Di ambil dok ke-7 sebagai pusat cluster ke-2     </t>
  </si>
  <si>
    <t xml:space="preserve">Di ambil dok ke-2 sebagai pusat cluster ke-3     </t>
  </si>
  <si>
    <t>3. Pengelompokan Data 1</t>
  </si>
  <si>
    <r>
      <t xml:space="preserve">2. Perhitungan Jarak Pusat Cluster (Metode </t>
    </r>
    <r>
      <rPr>
        <b/>
        <i/>
        <sz val="11"/>
        <color theme="1"/>
        <rFont val="Calibri"/>
        <family val="2"/>
        <scheme val="minor"/>
      </rPr>
      <t>Euclidean Distance</t>
    </r>
    <r>
      <rPr>
        <b/>
        <sz val="11"/>
        <color theme="1"/>
        <rFont val="Calibri"/>
        <family val="2"/>
        <scheme val="minor"/>
      </rPr>
      <t>)</t>
    </r>
  </si>
  <si>
    <t>3. Pengelompokan Data 2</t>
  </si>
  <si>
    <t>3. Pengelompokan Data 3</t>
  </si>
  <si>
    <t>3. Pengelompokan Data 4</t>
  </si>
  <si>
    <t>Iterai akan berhenti apabila pengelompokan data terakhir = nilai kelompok data sebelumnya</t>
  </si>
  <si>
    <t>Misal : pengelompokan data 4 = pengelompokan data 3</t>
  </si>
  <si>
    <t>Data</t>
  </si>
  <si>
    <t>x1</t>
  </si>
  <si>
    <t>x2</t>
  </si>
  <si>
    <t>Atribut</t>
  </si>
  <si>
    <t>Diketahui : Jumlah Cluster = 3, jumlah data = 12, jumlah atribut=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</si>
</sst>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8"/>
      <color theme="3"/>
      <name val="Calibri Light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  <font>
      <sz val="1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Border="1"/>
    <xf numFmtId="0" fontId="0" fillId="33" borderId="0" xfId="0" applyFill="1"/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0" xfId="0" applyBorder="1" applyAlignment="1"/>
    <xf numFmtId="0" fontId="0" fillId="0" borderId="12" xfId="0" applyBorder="1" applyAlignment="1">
      <alignment horizontal="center" vertical="center"/>
    </xf>
    <xf numFmtId="0" fontId="19" fillId="33" borderId="0" xfId="0" applyFont="1" applyFill="1"/>
    <xf numFmtId="0" fontId="19" fillId="0" borderId="0" xfId="0" applyFont="1"/>
    <xf numFmtId="0" fontId="0" fillId="0" borderId="0" xfId="0" applyAlignment="1">
      <alignment vertical="top" wrapText="1"/>
    </xf>
    <xf numFmtId="0" fontId="19" fillId="0" borderId="0" xfId="0" applyFont="1" applyAlignment="1">
      <alignment vertical="top" wrapText="1"/>
    </xf>
    <xf numFmtId="0" fontId="0" fillId="0" borderId="0" xfId="0" applyBorder="1" applyAlignment="1">
      <alignment horizontal="center"/>
    </xf>
    <xf numFmtId="2" fontId="0" fillId="34" borderId="10" xfId="0" applyNumberFormat="1" applyFill="1" applyBorder="1"/>
    <xf numFmtId="2" fontId="0" fillId="34" borderId="11" xfId="0" applyNumberFormat="1" applyFill="1" applyBorder="1"/>
    <xf numFmtId="2" fontId="18" fillId="0" borderId="10" xfId="0" applyNumberFormat="1" applyFont="1" applyFill="1" applyBorder="1" applyAlignment="1">
      <alignment horizontal="right"/>
    </xf>
    <xf numFmtId="2" fontId="0" fillId="35" borderId="10" xfId="0" applyNumberFormat="1" applyFill="1" applyBorder="1"/>
    <xf numFmtId="0" fontId="0" fillId="36" borderId="0" xfId="0" applyFill="1"/>
    <xf numFmtId="0" fontId="19" fillId="36" borderId="0" xfId="0" applyFont="1" applyFill="1"/>
    <xf numFmtId="0" fontId="19" fillId="0" borderId="0" xfId="0" applyFont="1" applyBorder="1" applyAlignment="1">
      <alignment vertical="center"/>
    </xf>
    <xf numFmtId="0" fontId="19" fillId="0" borderId="0" xfId="0" applyFont="1" applyAlignment="1">
      <alignment vertical="center"/>
    </xf>
    <xf numFmtId="0" fontId="19" fillId="0" borderId="0" xfId="0" applyFont="1" applyBorder="1" applyAlignment="1"/>
    <xf numFmtId="0" fontId="19" fillId="37" borderId="0" xfId="0" applyFont="1" applyFill="1" applyBorder="1"/>
    <xf numFmtId="0" fontId="19" fillId="37" borderId="0" xfId="0" applyFont="1" applyFill="1"/>
    <xf numFmtId="0" fontId="0" fillId="0" borderId="0" xfId="0" applyFill="1" applyBorder="1"/>
    <xf numFmtId="0" fontId="0" fillId="0" borderId="0" xfId="0" applyFill="1" applyBorder="1" applyAlignment="1"/>
    <xf numFmtId="2" fontId="0" fillId="0" borderId="0" xfId="0" applyNumberFormat="1" applyAlignment="1">
      <alignment horizontal="center"/>
    </xf>
    <xf numFmtId="2" fontId="19" fillId="0" borderId="0" xfId="0" applyNumberFormat="1" applyFont="1" applyAlignment="1">
      <alignment horizontal="right"/>
    </xf>
    <xf numFmtId="0" fontId="0" fillId="37" borderId="0" xfId="0" applyFill="1"/>
    <xf numFmtId="2" fontId="0" fillId="0" borderId="0" xfId="0" applyNumberFormat="1" applyFill="1" applyBorder="1"/>
    <xf numFmtId="0" fontId="19" fillId="38" borderId="0" xfId="0" applyFont="1" applyFill="1"/>
    <xf numFmtId="0" fontId="19" fillId="38" borderId="10" xfId="0" applyFont="1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9" fillId="38" borderId="10" xfId="0" applyFont="1" applyFill="1" applyBorder="1" applyAlignment="1">
      <alignment horizontal="center" vertical="center"/>
    </xf>
    <xf numFmtId="0" fontId="19" fillId="37" borderId="0" xfId="0" applyFont="1" applyFill="1" applyAlignment="1">
      <alignment horizontal="left" vertical="top" wrapText="1"/>
    </xf>
    <xf numFmtId="0" fontId="19" fillId="36" borderId="0" xfId="0" applyFont="1" applyFill="1" applyAlignment="1">
      <alignment horizontal="left"/>
    </xf>
    <xf numFmtId="0" fontId="19" fillId="0" borderId="0" xfId="0" applyFont="1" applyFill="1" applyBorder="1" applyAlignment="1">
      <alignment horizontal="center" vertical="center"/>
    </xf>
    <xf numFmtId="0" fontId="19" fillId="38" borderId="10" xfId="0" applyFont="1" applyFill="1" applyBorder="1" applyAlignment="1">
      <alignment horizontal="center"/>
    </xf>
    <xf numFmtId="0" fontId="19" fillId="0" borderId="14" xfId="0" applyFont="1" applyFill="1" applyBorder="1" applyAlignment="1">
      <alignment horizontal="center" vertical="center"/>
    </xf>
    <xf numFmtId="0" fontId="19" fillId="38" borderId="13" xfId="0" applyFont="1" applyFill="1" applyBorder="1" applyAlignment="1">
      <alignment horizontal="center" vertical="center"/>
    </xf>
    <xf numFmtId="0" fontId="19" fillId="33" borderId="0" xfId="0" applyFont="1" applyFill="1" applyAlignment="1">
      <alignment horizontal="left"/>
    </xf>
    <xf numFmtId="0" fontId="19" fillId="38" borderId="15" xfId="0" applyFont="1" applyFill="1" applyBorder="1" applyAlignment="1">
      <alignment horizontal="center" vertical="center"/>
    </xf>
    <xf numFmtId="0" fontId="19" fillId="38" borderId="16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55"/>
  <sheetViews>
    <sheetView topLeftCell="A30" zoomScale="136" zoomScaleNormal="100" workbookViewId="0">
      <selection activeCell="D44" sqref="D44:D48"/>
    </sheetView>
  </sheetViews>
  <sheetFormatPr baseColWidth="10" defaultColWidth="8.83203125" defaultRowHeight="15" x14ac:dyDescent="0.2"/>
  <cols>
    <col min="2" max="3" width="15.6640625" customWidth="1"/>
    <col min="4" max="4" width="16.5" customWidth="1"/>
    <col min="5" max="5" width="8.83203125" customWidth="1"/>
    <col min="6" max="6" width="9.1640625" customWidth="1"/>
    <col min="8" max="8" width="16.1640625" customWidth="1"/>
  </cols>
  <sheetData>
    <row r="2" spans="1:11" x14ac:dyDescent="0.2">
      <c r="A2" s="18" t="s">
        <v>27</v>
      </c>
      <c r="B2" s="17"/>
      <c r="C2" s="17"/>
      <c r="D2" s="17"/>
      <c r="E2" s="17"/>
    </row>
    <row r="3" spans="1:11" x14ac:dyDescent="0.2">
      <c r="A3" s="38"/>
      <c r="B3" s="35" t="s">
        <v>23</v>
      </c>
      <c r="C3" s="39" t="s">
        <v>26</v>
      </c>
      <c r="D3" s="39"/>
    </row>
    <row r="4" spans="1:11" x14ac:dyDescent="0.2">
      <c r="A4" s="38"/>
      <c r="B4" s="35"/>
      <c r="C4" s="31" t="s">
        <v>24</v>
      </c>
      <c r="D4" s="31" t="s">
        <v>25</v>
      </c>
    </row>
    <row r="5" spans="1:11" ht="15" customHeight="1" x14ac:dyDescent="0.2">
      <c r="A5" s="33"/>
      <c r="B5" s="5">
        <v>1</v>
      </c>
      <c r="C5" s="15">
        <v>0.66</v>
      </c>
      <c r="D5" s="15">
        <v>4.0199999999999996</v>
      </c>
      <c r="F5" s="11"/>
      <c r="G5" s="11"/>
      <c r="H5" s="11"/>
      <c r="I5" s="11"/>
      <c r="J5" s="11"/>
      <c r="K5" s="11"/>
    </row>
    <row r="6" spans="1:11" x14ac:dyDescent="0.2">
      <c r="A6" s="33"/>
      <c r="B6" s="5">
        <v>2</v>
      </c>
      <c r="C6" s="15">
        <v>0.31</v>
      </c>
      <c r="D6" s="15">
        <v>1.82</v>
      </c>
      <c r="F6" s="11"/>
      <c r="G6" s="11"/>
      <c r="H6" s="11"/>
      <c r="I6" s="11"/>
      <c r="J6" s="11"/>
      <c r="K6" s="11"/>
    </row>
    <row r="7" spans="1:11" x14ac:dyDescent="0.2">
      <c r="A7" s="33"/>
      <c r="B7" s="5">
        <v>3</v>
      </c>
      <c r="C7" s="15">
        <v>0.49</v>
      </c>
      <c r="D7" s="15">
        <v>2.59</v>
      </c>
      <c r="F7" s="11"/>
      <c r="G7" s="11"/>
      <c r="H7" s="11"/>
      <c r="I7" s="11"/>
      <c r="J7" s="11"/>
      <c r="K7" s="11"/>
    </row>
    <row r="8" spans="1:11" x14ac:dyDescent="0.2">
      <c r="A8" s="33"/>
      <c r="B8" s="5">
        <v>4</v>
      </c>
      <c r="C8" s="15">
        <v>0.5</v>
      </c>
      <c r="D8" s="15">
        <v>2.89</v>
      </c>
      <c r="F8" s="11"/>
      <c r="G8" s="11"/>
      <c r="H8" s="11"/>
      <c r="I8" s="11"/>
      <c r="J8" s="11"/>
      <c r="K8" s="11"/>
    </row>
    <row r="9" spans="1:11" x14ac:dyDescent="0.2">
      <c r="A9" s="33"/>
      <c r="B9" s="5">
        <v>5</v>
      </c>
      <c r="C9" s="15">
        <v>0.51</v>
      </c>
      <c r="D9" s="15">
        <v>2.81</v>
      </c>
      <c r="F9" s="11"/>
      <c r="G9" s="11"/>
      <c r="H9" s="11"/>
      <c r="I9" s="11"/>
      <c r="J9" s="11"/>
      <c r="K9" s="11"/>
    </row>
    <row r="10" spans="1:11" x14ac:dyDescent="0.2">
      <c r="A10" s="33"/>
      <c r="B10" s="5">
        <v>6</v>
      </c>
      <c r="C10" s="15">
        <v>0.65</v>
      </c>
      <c r="D10" s="15">
        <v>4.6399999999999997</v>
      </c>
      <c r="F10" s="11"/>
      <c r="G10" s="11"/>
      <c r="H10" s="11"/>
      <c r="I10" s="11"/>
      <c r="J10" s="11"/>
      <c r="K10" s="11"/>
    </row>
    <row r="11" spans="1:11" x14ac:dyDescent="0.2">
      <c r="A11" s="33"/>
      <c r="B11" s="5">
        <v>7</v>
      </c>
      <c r="C11" s="15">
        <v>0.72</v>
      </c>
      <c r="D11" s="15">
        <v>3.87</v>
      </c>
      <c r="F11" s="11"/>
      <c r="G11" s="11"/>
      <c r="H11" s="11"/>
      <c r="I11" s="11"/>
      <c r="J11" s="11"/>
      <c r="K11" s="11"/>
    </row>
    <row r="12" spans="1:11" x14ac:dyDescent="0.2">
      <c r="A12" s="33"/>
      <c r="B12" s="5">
        <v>8</v>
      </c>
      <c r="C12" s="15">
        <v>1.62</v>
      </c>
      <c r="D12" s="15">
        <v>9.64</v>
      </c>
      <c r="F12" s="11"/>
      <c r="G12" s="11"/>
      <c r="H12" s="11"/>
      <c r="I12" s="11"/>
      <c r="J12" s="11"/>
      <c r="K12" s="11"/>
    </row>
    <row r="13" spans="1:11" x14ac:dyDescent="0.2">
      <c r="A13" s="33"/>
      <c r="B13" s="5">
        <v>9</v>
      </c>
      <c r="C13" s="15">
        <v>1.1299999999999999</v>
      </c>
      <c r="D13" s="15">
        <v>7.06</v>
      </c>
      <c r="F13" s="11"/>
      <c r="G13" s="11"/>
      <c r="H13" s="11"/>
      <c r="I13" s="11"/>
      <c r="J13" s="11"/>
      <c r="K13" s="11"/>
    </row>
    <row r="14" spans="1:11" x14ac:dyDescent="0.2">
      <c r="A14" s="33"/>
      <c r="B14" s="5">
        <v>10</v>
      </c>
      <c r="C14" s="15">
        <v>0.61</v>
      </c>
      <c r="D14" s="15">
        <v>3.29</v>
      </c>
      <c r="F14" s="11"/>
      <c r="G14" s="11"/>
      <c r="H14" s="11"/>
      <c r="I14" s="11"/>
      <c r="J14" s="11"/>
      <c r="K14" s="11"/>
    </row>
    <row r="15" spans="1:11" x14ac:dyDescent="0.2">
      <c r="A15" s="33"/>
      <c r="B15" s="5">
        <v>11</v>
      </c>
      <c r="C15" s="15">
        <v>0.48</v>
      </c>
      <c r="D15" s="15">
        <v>2.9</v>
      </c>
      <c r="F15" s="11"/>
      <c r="G15" s="11"/>
      <c r="H15" s="11"/>
      <c r="I15" s="11"/>
      <c r="J15" s="11"/>
      <c r="K15" s="11"/>
    </row>
    <row r="16" spans="1:11" x14ac:dyDescent="0.2">
      <c r="A16" s="33"/>
      <c r="B16" s="5">
        <v>12</v>
      </c>
      <c r="C16" s="15">
        <v>0.59</v>
      </c>
      <c r="D16" s="15">
        <v>3.11</v>
      </c>
    </row>
    <row r="19" spans="1:12" x14ac:dyDescent="0.2">
      <c r="A19" s="37" t="s">
        <v>0</v>
      </c>
      <c r="B19" s="37"/>
      <c r="C19" s="37"/>
    </row>
    <row r="20" spans="1:12" x14ac:dyDescent="0.2">
      <c r="A20" s="6" t="s">
        <v>13</v>
      </c>
      <c r="B20" s="6"/>
      <c r="C20" s="6"/>
      <c r="D20" s="19">
        <v>1.62</v>
      </c>
      <c r="E20" s="20">
        <v>9.64</v>
      </c>
      <c r="F20" s="2"/>
    </row>
    <row r="21" spans="1:12" x14ac:dyDescent="0.2">
      <c r="A21" s="6" t="s">
        <v>14</v>
      </c>
      <c r="B21" s="6"/>
      <c r="C21" s="6"/>
      <c r="D21" s="21">
        <v>0.72</v>
      </c>
      <c r="E21" s="21">
        <v>3.87</v>
      </c>
      <c r="F21" s="2"/>
    </row>
    <row r="22" spans="1:12" x14ac:dyDescent="0.2">
      <c r="A22" s="6" t="s">
        <v>15</v>
      </c>
      <c r="B22" s="6"/>
      <c r="C22" s="6"/>
      <c r="D22" s="21">
        <v>0.31</v>
      </c>
      <c r="E22" s="21">
        <v>1.82</v>
      </c>
      <c r="F22" s="2"/>
    </row>
    <row r="24" spans="1:12" x14ac:dyDescent="0.2">
      <c r="A24" s="8" t="s">
        <v>17</v>
      </c>
      <c r="B24" s="3"/>
      <c r="C24" s="3"/>
      <c r="D24" s="3"/>
      <c r="E24" s="3"/>
    </row>
    <row r="25" spans="1:12" x14ac:dyDescent="0.2">
      <c r="A25" s="40"/>
      <c r="B25" s="41" t="s">
        <v>23</v>
      </c>
      <c r="C25" s="39" t="s">
        <v>26</v>
      </c>
      <c r="D25" s="39"/>
      <c r="E25" s="35" t="s">
        <v>1</v>
      </c>
      <c r="F25" s="35" t="s">
        <v>2</v>
      </c>
      <c r="G25" s="35" t="s">
        <v>3</v>
      </c>
      <c r="H25" s="35" t="s">
        <v>4</v>
      </c>
    </row>
    <row r="26" spans="1:12" s="1" customFormat="1" x14ac:dyDescent="0.2">
      <c r="A26" s="40"/>
      <c r="B26" s="41"/>
      <c r="C26" s="31" t="s">
        <v>24</v>
      </c>
      <c r="D26" s="31" t="s">
        <v>25</v>
      </c>
      <c r="E26" s="35"/>
      <c r="F26" s="35"/>
      <c r="G26" s="35"/>
      <c r="H26" s="35"/>
      <c r="I26" s="12"/>
      <c r="J26" s="12"/>
    </row>
    <row r="27" spans="1:12" ht="15" customHeight="1" x14ac:dyDescent="0.2">
      <c r="A27" s="34"/>
      <c r="B27" s="32">
        <v>1</v>
      </c>
      <c r="C27" s="15">
        <f>C5</f>
        <v>0.66</v>
      </c>
      <c r="D27" s="15">
        <f>D5</f>
        <v>4.0199999999999996</v>
      </c>
      <c r="E27" s="13">
        <f>SQRT(((C27-$D$20)^2)+(D27-$E$20)^2)</f>
        <v>5.7014033360217562</v>
      </c>
      <c r="F27" s="13">
        <f>SQRT(((C27-$D$21)^2)+(D27-$E$21)^2)</f>
        <v>0.1615549442140346</v>
      </c>
      <c r="G27" s="14">
        <f>SQRT(((C27-$D$22)^2)+(D27-$E$22)^2)</f>
        <v>2.2276669409945455</v>
      </c>
      <c r="H27" s="16">
        <f>MIN(E27:F27:G27)</f>
        <v>0.1615549442140346</v>
      </c>
      <c r="I27" s="2"/>
      <c r="J27" s="22"/>
      <c r="K27" s="23"/>
      <c r="L27" s="23"/>
    </row>
    <row r="28" spans="1:12" x14ac:dyDescent="0.2">
      <c r="A28" s="34"/>
      <c r="B28" s="32">
        <v>2</v>
      </c>
      <c r="C28" s="15">
        <f t="shared" ref="C28:C38" si="0">C6</f>
        <v>0.31</v>
      </c>
      <c r="D28" s="15">
        <f t="shared" ref="D28:D37" si="1">D6</f>
        <v>1.82</v>
      </c>
      <c r="E28" s="13">
        <f>SQRT(((C28-$D$20)^2)+(D28-$E$20)^2)</f>
        <v>7.92896588465356</v>
      </c>
      <c r="F28" s="13">
        <f t="shared" ref="F28:F38" si="2">SQRT(((C28-$D$21)^2)+(D28-$E$21)^2)</f>
        <v>2.0905980005730416</v>
      </c>
      <c r="G28" s="14">
        <f t="shared" ref="G28:G37" si="3">SQRT(((C28-$D$22)^2)+(D28-$E$22)^2)</f>
        <v>0</v>
      </c>
      <c r="H28" s="16">
        <f>MIN(E28:F28:G28)</f>
        <v>0</v>
      </c>
      <c r="I28" s="2"/>
      <c r="J28" s="22"/>
      <c r="K28" s="23"/>
      <c r="L28" s="23"/>
    </row>
    <row r="29" spans="1:12" x14ac:dyDescent="0.2">
      <c r="A29" s="34"/>
      <c r="B29" s="32">
        <v>3</v>
      </c>
      <c r="C29" s="15">
        <f t="shared" si="0"/>
        <v>0.49</v>
      </c>
      <c r="D29" s="15">
        <f t="shared" si="1"/>
        <v>2.59</v>
      </c>
      <c r="E29" s="13">
        <f t="shared" ref="E29:E37" si="4">SQRT(((C29-$D$20)^2)+(D29-$E$20)^2)</f>
        <v>7.1399859943840234</v>
      </c>
      <c r="F29" s="13">
        <f t="shared" si="2"/>
        <v>1.3004999038831186</v>
      </c>
      <c r="G29" s="14">
        <f t="shared" si="3"/>
        <v>0.79075912893876832</v>
      </c>
      <c r="H29" s="16">
        <f>MIN(E29:F29:G29)</f>
        <v>0.79075912893876832</v>
      </c>
      <c r="I29" s="2"/>
      <c r="J29" s="22"/>
      <c r="K29" s="23"/>
      <c r="L29" s="23"/>
    </row>
    <row r="30" spans="1:12" x14ac:dyDescent="0.2">
      <c r="A30" s="34"/>
      <c r="B30" s="32">
        <v>4</v>
      </c>
      <c r="C30" s="15">
        <f t="shared" si="0"/>
        <v>0.5</v>
      </c>
      <c r="D30" s="15">
        <f t="shared" si="1"/>
        <v>2.89</v>
      </c>
      <c r="E30" s="13">
        <f t="shared" si="4"/>
        <v>6.8422876291486023</v>
      </c>
      <c r="F30" s="13">
        <f t="shared" si="2"/>
        <v>1.0043903623591774</v>
      </c>
      <c r="G30" s="14">
        <f t="shared" si="3"/>
        <v>1.0867382389517726</v>
      </c>
      <c r="H30" s="16">
        <f>MIN(E30:F30:G30)</f>
        <v>1.0043903623591774</v>
      </c>
      <c r="I30" s="2"/>
      <c r="J30" s="22"/>
      <c r="K30" s="23"/>
      <c r="L30" s="23"/>
    </row>
    <row r="31" spans="1:12" x14ac:dyDescent="0.2">
      <c r="A31" s="34"/>
      <c r="B31" s="32">
        <v>5</v>
      </c>
      <c r="C31" s="15">
        <f t="shared" si="0"/>
        <v>0.51</v>
      </c>
      <c r="D31" s="15">
        <f t="shared" si="1"/>
        <v>2.81</v>
      </c>
      <c r="E31" s="13">
        <f t="shared" si="4"/>
        <v>6.9196098155893155</v>
      </c>
      <c r="F31" s="13">
        <f t="shared" si="2"/>
        <v>1.0806016842481785</v>
      </c>
      <c r="G31" s="14">
        <f t="shared" si="3"/>
        <v>1.01</v>
      </c>
      <c r="H31" s="16">
        <f>MIN(E31:F31:G31)</f>
        <v>1.01</v>
      </c>
      <c r="I31" s="2"/>
      <c r="J31" s="22"/>
      <c r="K31" s="23"/>
      <c r="L31" s="23"/>
    </row>
    <row r="32" spans="1:12" x14ac:dyDescent="0.2">
      <c r="A32" s="34"/>
      <c r="B32" s="32">
        <v>6</v>
      </c>
      <c r="C32" s="15">
        <f t="shared" si="0"/>
        <v>0.65</v>
      </c>
      <c r="D32" s="15">
        <f t="shared" si="1"/>
        <v>4.6399999999999997</v>
      </c>
      <c r="E32" s="13">
        <f t="shared" si="4"/>
        <v>5.0932209847993057</v>
      </c>
      <c r="F32" s="13">
        <f t="shared" si="2"/>
        <v>0.77317527120310781</v>
      </c>
      <c r="G32" s="14">
        <f t="shared" si="3"/>
        <v>2.8404225037835475</v>
      </c>
      <c r="H32" s="16">
        <f>MIN(E32:F32:G32)</f>
        <v>0.77317527120310781</v>
      </c>
      <c r="I32" s="2"/>
      <c r="J32" s="2"/>
    </row>
    <row r="33" spans="1:10" x14ac:dyDescent="0.2">
      <c r="A33" s="34"/>
      <c r="B33" s="32">
        <v>7</v>
      </c>
      <c r="C33" s="15">
        <f t="shared" si="0"/>
        <v>0.72</v>
      </c>
      <c r="D33" s="15">
        <f t="shared" si="1"/>
        <v>3.87</v>
      </c>
      <c r="E33" s="13">
        <f t="shared" si="4"/>
        <v>5.8397688310411748</v>
      </c>
      <c r="F33" s="13">
        <f t="shared" si="2"/>
        <v>0</v>
      </c>
      <c r="G33" s="14">
        <f t="shared" si="3"/>
        <v>2.0905980005730416</v>
      </c>
      <c r="H33" s="16">
        <f>MIN(E33:F33:G33)</f>
        <v>0</v>
      </c>
      <c r="I33" s="2"/>
      <c r="J33" s="2"/>
    </row>
    <row r="34" spans="1:10" x14ac:dyDescent="0.2">
      <c r="A34" s="34"/>
      <c r="B34" s="32">
        <v>8</v>
      </c>
      <c r="C34" s="15">
        <f t="shared" si="0"/>
        <v>1.62</v>
      </c>
      <c r="D34" s="15">
        <f t="shared" si="1"/>
        <v>9.64</v>
      </c>
      <c r="E34" s="13">
        <f t="shared" si="4"/>
        <v>0</v>
      </c>
      <c r="F34" s="13">
        <f t="shared" si="2"/>
        <v>5.8397688310411748</v>
      </c>
      <c r="G34" s="14">
        <f t="shared" si="3"/>
        <v>7.92896588465356</v>
      </c>
      <c r="H34" s="16">
        <f>MIN(E34:F34:G34)</f>
        <v>0</v>
      </c>
      <c r="I34" s="2"/>
      <c r="J34" s="2"/>
    </row>
    <row r="35" spans="1:10" x14ac:dyDescent="0.2">
      <c r="A35" s="34"/>
      <c r="B35" s="32">
        <v>9</v>
      </c>
      <c r="C35" s="15">
        <f t="shared" si="0"/>
        <v>1.1299999999999999</v>
      </c>
      <c r="D35" s="15">
        <f t="shared" si="1"/>
        <v>7.06</v>
      </c>
      <c r="E35" s="13">
        <f t="shared" si="4"/>
        <v>2.6261188091935224</v>
      </c>
      <c r="F35" s="13">
        <f t="shared" si="2"/>
        <v>3.2162400407929748</v>
      </c>
      <c r="G35" s="14">
        <f t="shared" si="3"/>
        <v>5.3037722424704468</v>
      </c>
      <c r="H35" s="16">
        <f>MIN(E35:F35:G35)</f>
        <v>2.6261188091935224</v>
      </c>
      <c r="I35" s="2"/>
      <c r="J35" s="2"/>
    </row>
    <row r="36" spans="1:10" x14ac:dyDescent="0.2">
      <c r="A36" s="34"/>
      <c r="B36" s="32">
        <v>10</v>
      </c>
      <c r="C36" s="15">
        <f t="shared" si="0"/>
        <v>0.61</v>
      </c>
      <c r="D36" s="15">
        <f t="shared" si="1"/>
        <v>3.29</v>
      </c>
      <c r="E36" s="13">
        <f t="shared" si="4"/>
        <v>6.4298211483679699</v>
      </c>
      <c r="F36" s="13">
        <f t="shared" si="2"/>
        <v>0.59033888572581772</v>
      </c>
      <c r="G36" s="14">
        <f t="shared" si="3"/>
        <v>1.5002999700059985</v>
      </c>
      <c r="H36" s="16">
        <f>MIN(E36:F36:G36)</f>
        <v>0.59033888572581772</v>
      </c>
      <c r="I36" s="2"/>
      <c r="J36" s="2"/>
    </row>
    <row r="37" spans="1:10" x14ac:dyDescent="0.2">
      <c r="A37" s="34"/>
      <c r="B37" s="32">
        <v>11</v>
      </c>
      <c r="C37" s="15">
        <f t="shared" si="0"/>
        <v>0.48</v>
      </c>
      <c r="D37" s="15">
        <f t="shared" si="1"/>
        <v>2.9</v>
      </c>
      <c r="E37" s="13">
        <f t="shared" si="4"/>
        <v>6.8357296611261624</v>
      </c>
      <c r="F37" s="13">
        <f t="shared" si="2"/>
        <v>0.99924971853886468</v>
      </c>
      <c r="G37" s="14">
        <f t="shared" si="3"/>
        <v>1.0932977636490435</v>
      </c>
      <c r="H37" s="16">
        <f>MIN(E37:F37:G37)</f>
        <v>0.99924971853886468</v>
      </c>
      <c r="I37" s="2"/>
      <c r="J37" s="2"/>
    </row>
    <row r="38" spans="1:10" x14ac:dyDescent="0.2">
      <c r="A38" s="34"/>
      <c r="B38" s="32">
        <v>12</v>
      </c>
      <c r="C38" s="15">
        <f t="shared" si="0"/>
        <v>0.59</v>
      </c>
      <c r="D38" s="15">
        <f>D16</f>
        <v>3.11</v>
      </c>
      <c r="E38" s="13">
        <f>SQRT(((C38-$D$20)^2)+(D38-$E$20)^2)</f>
        <v>6.6107336960431269</v>
      </c>
      <c r="F38" s="13">
        <f t="shared" si="2"/>
        <v>0.77103826104804962</v>
      </c>
      <c r="G38" s="14">
        <f>SQRT(((C38-$D$22)^2)+(D38-$E$22)^2)</f>
        <v>1.3200378782444084</v>
      </c>
      <c r="H38" s="16">
        <f>MIN(E38:F38:G38)</f>
        <v>0.77103826104804962</v>
      </c>
      <c r="I38" s="2"/>
      <c r="J38" s="2"/>
    </row>
    <row r="42" spans="1:10" x14ac:dyDescent="0.2">
      <c r="A42" s="18" t="s">
        <v>16</v>
      </c>
      <c r="B42" s="17"/>
      <c r="C42" s="17"/>
    </row>
    <row r="43" spans="1:10" x14ac:dyDescent="0.2">
      <c r="A43" s="31" t="s">
        <v>23</v>
      </c>
      <c r="B43" s="31" t="s">
        <v>1</v>
      </c>
      <c r="C43" s="31" t="s">
        <v>2</v>
      </c>
      <c r="D43" s="31" t="s">
        <v>3</v>
      </c>
    </row>
    <row r="44" spans="1:10" ht="15" customHeight="1" x14ac:dyDescent="0.2">
      <c r="A44" s="5">
        <v>1</v>
      </c>
      <c r="B44" s="5"/>
      <c r="C44" s="5">
        <v>1</v>
      </c>
      <c r="D44" s="5"/>
      <c r="F44" s="36" t="s">
        <v>10</v>
      </c>
      <c r="G44" s="36"/>
      <c r="H44" s="10"/>
    </row>
    <row r="45" spans="1:10" ht="14.25" customHeight="1" x14ac:dyDescent="0.2">
      <c r="A45" s="5">
        <v>2</v>
      </c>
      <c r="B45" s="5"/>
      <c r="C45" s="5"/>
      <c r="D45" s="5">
        <v>1</v>
      </c>
      <c r="F45" s="36" t="s">
        <v>11</v>
      </c>
      <c r="G45" s="36"/>
      <c r="H45" s="10"/>
    </row>
    <row r="46" spans="1:10" x14ac:dyDescent="0.2">
      <c r="A46" s="5">
        <v>3</v>
      </c>
      <c r="B46" s="5"/>
      <c r="C46" s="5"/>
      <c r="D46" s="5">
        <v>1</v>
      </c>
      <c r="F46" s="36"/>
      <c r="G46" s="36"/>
      <c r="H46" s="10"/>
    </row>
    <row r="47" spans="1:10" x14ac:dyDescent="0.2">
      <c r="A47" s="5">
        <v>4</v>
      </c>
      <c r="B47" s="5"/>
      <c r="C47" s="5">
        <v>1</v>
      </c>
      <c r="D47" s="5"/>
      <c r="F47" s="36"/>
      <c r="G47" s="36"/>
      <c r="H47" s="10"/>
    </row>
    <row r="48" spans="1:10" x14ac:dyDescent="0.2">
      <c r="A48" s="5">
        <v>5</v>
      </c>
      <c r="B48" s="5"/>
      <c r="C48" s="5"/>
      <c r="D48" s="5">
        <v>1</v>
      </c>
      <c r="F48" s="10"/>
      <c r="G48" s="10"/>
      <c r="H48" s="10"/>
    </row>
    <row r="49" spans="1:4" x14ac:dyDescent="0.2">
      <c r="A49" s="5">
        <v>6</v>
      </c>
      <c r="B49" s="5"/>
      <c r="C49" s="5">
        <v>1</v>
      </c>
      <c r="D49" s="5"/>
    </row>
    <row r="50" spans="1:4" x14ac:dyDescent="0.2">
      <c r="A50" s="5">
        <v>7</v>
      </c>
      <c r="B50" s="5"/>
      <c r="C50" s="5">
        <v>1</v>
      </c>
      <c r="D50" s="5"/>
    </row>
    <row r="51" spans="1:4" x14ac:dyDescent="0.2">
      <c r="A51" s="5">
        <v>8</v>
      </c>
      <c r="B51" s="5">
        <v>1</v>
      </c>
      <c r="C51" s="5"/>
      <c r="D51" s="5"/>
    </row>
    <row r="52" spans="1:4" x14ac:dyDescent="0.2">
      <c r="A52" s="5">
        <v>9</v>
      </c>
      <c r="B52" s="5">
        <v>1</v>
      </c>
      <c r="C52" s="5"/>
      <c r="D52" s="5"/>
    </row>
    <row r="53" spans="1:4" x14ac:dyDescent="0.2">
      <c r="A53" s="5">
        <v>10</v>
      </c>
      <c r="B53" s="5"/>
      <c r="C53" s="5">
        <v>1</v>
      </c>
      <c r="D53" s="5"/>
    </row>
    <row r="54" spans="1:4" x14ac:dyDescent="0.2">
      <c r="A54" s="5">
        <v>11</v>
      </c>
      <c r="B54" s="5"/>
      <c r="C54" s="5">
        <v>1</v>
      </c>
      <c r="D54" s="5"/>
    </row>
    <row r="55" spans="1:4" x14ac:dyDescent="0.2">
      <c r="A55" s="5">
        <v>12</v>
      </c>
      <c r="B55" s="5"/>
      <c r="C55" s="5">
        <v>1</v>
      </c>
      <c r="D55" s="5"/>
    </row>
  </sheetData>
  <mergeCells count="13">
    <mergeCell ref="H25:H26"/>
    <mergeCell ref="F44:G44"/>
    <mergeCell ref="F45:G47"/>
    <mergeCell ref="A19:C19"/>
    <mergeCell ref="A3:A4"/>
    <mergeCell ref="B3:B4"/>
    <mergeCell ref="C3:D3"/>
    <mergeCell ref="A25:A26"/>
    <mergeCell ref="B25:B26"/>
    <mergeCell ref="C25:D25"/>
    <mergeCell ref="E25:E26"/>
    <mergeCell ref="F25:F26"/>
    <mergeCell ref="G25:G2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M70"/>
  <sheetViews>
    <sheetView topLeftCell="A55" zoomScale="169" workbookViewId="0">
      <selection activeCell="A58" sqref="A58:D70"/>
    </sheetView>
  </sheetViews>
  <sheetFormatPr baseColWidth="10" defaultColWidth="8.83203125" defaultRowHeight="15" x14ac:dyDescent="0.2"/>
  <cols>
    <col min="2" max="2" width="12" bestFit="1" customWidth="1"/>
    <col min="3" max="3" width="12" customWidth="1"/>
    <col min="4" max="4" width="13" customWidth="1"/>
    <col min="8" max="8" width="16.6640625" customWidth="1"/>
  </cols>
  <sheetData>
    <row r="3" spans="1:4" x14ac:dyDescent="0.2">
      <c r="A3" s="31" t="s">
        <v>23</v>
      </c>
      <c r="B3" s="31" t="s">
        <v>1</v>
      </c>
      <c r="C3" s="31" t="s">
        <v>2</v>
      </c>
      <c r="D3" s="31" t="s">
        <v>3</v>
      </c>
    </row>
    <row r="4" spans="1:4" x14ac:dyDescent="0.2">
      <c r="A4" s="5">
        <v>1</v>
      </c>
      <c r="B4" s="5"/>
      <c r="C4" s="5">
        <v>1</v>
      </c>
      <c r="D4" s="5"/>
    </row>
    <row r="5" spans="1:4" x14ac:dyDescent="0.2">
      <c r="A5" s="5">
        <v>2</v>
      </c>
      <c r="B5" s="5"/>
      <c r="C5" s="5"/>
      <c r="D5" s="5">
        <v>1</v>
      </c>
    </row>
    <row r="6" spans="1:4" x14ac:dyDescent="0.2">
      <c r="A6" s="5">
        <v>3</v>
      </c>
      <c r="B6" s="5"/>
      <c r="C6" s="5"/>
      <c r="D6" s="5">
        <v>1</v>
      </c>
    </row>
    <row r="7" spans="1:4" x14ac:dyDescent="0.2">
      <c r="A7" s="5">
        <v>4</v>
      </c>
      <c r="B7" s="5"/>
      <c r="C7" s="5">
        <v>1</v>
      </c>
      <c r="D7" s="5"/>
    </row>
    <row r="8" spans="1:4" x14ac:dyDescent="0.2">
      <c r="A8" s="5">
        <v>5</v>
      </c>
      <c r="B8" s="5"/>
      <c r="C8" s="5"/>
      <c r="D8" s="5">
        <v>1</v>
      </c>
    </row>
    <row r="9" spans="1:4" x14ac:dyDescent="0.2">
      <c r="A9" s="5">
        <v>6</v>
      </c>
      <c r="B9" s="5"/>
      <c r="C9" s="5">
        <v>1</v>
      </c>
      <c r="D9" s="5"/>
    </row>
    <row r="10" spans="1:4" x14ac:dyDescent="0.2">
      <c r="A10" s="5">
        <v>7</v>
      </c>
      <c r="B10" s="5"/>
      <c r="C10" s="5">
        <v>1</v>
      </c>
      <c r="D10" s="5"/>
    </row>
    <row r="11" spans="1:4" x14ac:dyDescent="0.2">
      <c r="A11" s="5">
        <v>8</v>
      </c>
      <c r="B11" s="5">
        <v>1</v>
      </c>
      <c r="C11" s="5"/>
      <c r="D11" s="5"/>
    </row>
    <row r="12" spans="1:4" x14ac:dyDescent="0.2">
      <c r="A12" s="5">
        <v>9</v>
      </c>
      <c r="B12" s="5">
        <v>1</v>
      </c>
      <c r="C12" s="5"/>
      <c r="D12" s="5"/>
    </row>
    <row r="13" spans="1:4" x14ac:dyDescent="0.2">
      <c r="A13" s="5">
        <v>10</v>
      </c>
      <c r="B13" s="5"/>
      <c r="C13" s="5">
        <v>1</v>
      </c>
      <c r="D13" s="5"/>
    </row>
    <row r="14" spans="1:4" x14ac:dyDescent="0.2">
      <c r="A14" s="5">
        <v>11</v>
      </c>
      <c r="B14" s="5"/>
      <c r="C14" s="5">
        <v>1</v>
      </c>
      <c r="D14" s="5"/>
    </row>
    <row r="15" spans="1:4" x14ac:dyDescent="0.2">
      <c r="A15" s="5">
        <v>12</v>
      </c>
      <c r="B15" s="5"/>
      <c r="C15" s="5">
        <v>1</v>
      </c>
      <c r="D15" s="5"/>
    </row>
    <row r="19" spans="1:7" x14ac:dyDescent="0.2">
      <c r="A19" s="40"/>
      <c r="B19" s="43" t="s">
        <v>23</v>
      </c>
      <c r="C19" s="39" t="s">
        <v>26</v>
      </c>
      <c r="D19" s="39"/>
      <c r="E19" s="25"/>
      <c r="F19" s="25"/>
      <c r="G19" s="25"/>
    </row>
    <row r="20" spans="1:7" x14ac:dyDescent="0.2">
      <c r="A20" s="40"/>
      <c r="B20" s="44"/>
      <c r="C20" s="31" t="s">
        <v>24</v>
      </c>
      <c r="D20" s="31" t="s">
        <v>25</v>
      </c>
      <c r="E20" s="24"/>
      <c r="F20" s="24"/>
      <c r="G20" s="24"/>
    </row>
    <row r="21" spans="1:7" x14ac:dyDescent="0.2">
      <c r="B21" s="7">
        <v>1</v>
      </c>
      <c r="C21" s="15">
        <v>0.66</v>
      </c>
      <c r="D21" s="15">
        <v>4.0199999999999996</v>
      </c>
      <c r="E21" s="24"/>
      <c r="F21" s="24"/>
      <c r="G21" s="24"/>
    </row>
    <row r="22" spans="1:7" x14ac:dyDescent="0.2">
      <c r="B22" s="4">
        <v>2</v>
      </c>
      <c r="C22" s="15">
        <v>0.31</v>
      </c>
      <c r="D22" s="15">
        <v>1.82</v>
      </c>
      <c r="E22" s="24"/>
      <c r="F22" s="24"/>
      <c r="G22" s="24"/>
    </row>
    <row r="23" spans="1:7" x14ac:dyDescent="0.2">
      <c r="B23" s="4">
        <v>3</v>
      </c>
      <c r="C23" s="15">
        <v>0.49</v>
      </c>
      <c r="D23" s="15">
        <v>2.59</v>
      </c>
      <c r="E23" s="24"/>
      <c r="F23" s="24"/>
      <c r="G23" s="24"/>
    </row>
    <row r="24" spans="1:7" x14ac:dyDescent="0.2">
      <c r="B24" s="4">
        <v>4</v>
      </c>
      <c r="C24" s="15">
        <v>0.5</v>
      </c>
      <c r="D24" s="15">
        <v>2.89</v>
      </c>
      <c r="E24" s="24"/>
      <c r="F24" s="24"/>
      <c r="G24" s="24"/>
    </row>
    <row r="25" spans="1:7" x14ac:dyDescent="0.2">
      <c r="B25" s="4">
        <v>5</v>
      </c>
      <c r="C25" s="15">
        <v>0.51</v>
      </c>
      <c r="D25" s="15">
        <v>2.81</v>
      </c>
      <c r="E25" s="24"/>
      <c r="F25" s="24"/>
      <c r="G25" s="24"/>
    </row>
    <row r="26" spans="1:7" x14ac:dyDescent="0.2">
      <c r="B26" s="4">
        <v>6</v>
      </c>
      <c r="C26" s="15">
        <v>0.65</v>
      </c>
      <c r="D26" s="15">
        <v>4.6399999999999997</v>
      </c>
      <c r="E26" s="24"/>
      <c r="F26" s="24"/>
      <c r="G26" s="24"/>
    </row>
    <row r="27" spans="1:7" x14ac:dyDescent="0.2">
      <c r="B27" s="4">
        <v>7</v>
      </c>
      <c r="C27" s="15">
        <v>0.72</v>
      </c>
      <c r="D27" s="15">
        <v>3.87</v>
      </c>
      <c r="E27" s="24"/>
      <c r="F27" s="24"/>
      <c r="G27" s="24"/>
    </row>
    <row r="28" spans="1:7" x14ac:dyDescent="0.2">
      <c r="B28" s="4">
        <v>8</v>
      </c>
      <c r="C28" s="15">
        <v>1.62</v>
      </c>
      <c r="D28" s="15">
        <v>9.64</v>
      </c>
      <c r="E28" s="24"/>
      <c r="F28" s="24"/>
      <c r="G28" s="24"/>
    </row>
    <row r="29" spans="1:7" x14ac:dyDescent="0.2">
      <c r="B29" s="4">
        <v>9</v>
      </c>
      <c r="C29" s="15">
        <v>1.1299999999999999</v>
      </c>
      <c r="D29" s="15">
        <v>7.06</v>
      </c>
      <c r="E29" s="24"/>
      <c r="F29" s="24"/>
      <c r="G29" s="24"/>
    </row>
    <row r="30" spans="1:7" x14ac:dyDescent="0.2">
      <c r="B30" s="4">
        <v>10</v>
      </c>
      <c r="C30" s="15">
        <v>0.61</v>
      </c>
      <c r="D30" s="15">
        <v>3.29</v>
      </c>
      <c r="E30" s="24"/>
      <c r="F30" s="24"/>
      <c r="G30" s="24"/>
    </row>
    <row r="31" spans="1:7" x14ac:dyDescent="0.2">
      <c r="B31" s="4">
        <v>11</v>
      </c>
      <c r="C31" s="15">
        <v>0.48</v>
      </c>
      <c r="D31" s="15">
        <v>2.9</v>
      </c>
      <c r="E31" s="24"/>
      <c r="F31" s="24"/>
      <c r="G31" s="24"/>
    </row>
    <row r="32" spans="1:7" x14ac:dyDescent="0.2">
      <c r="B32" s="4">
        <v>12</v>
      </c>
      <c r="C32" s="15">
        <v>0.59</v>
      </c>
      <c r="D32" s="15">
        <v>3.11</v>
      </c>
      <c r="E32" s="24"/>
      <c r="F32" s="24"/>
      <c r="G32" s="24"/>
    </row>
    <row r="35" spans="1:13" x14ac:dyDescent="0.2">
      <c r="A35" s="42" t="s">
        <v>0</v>
      </c>
      <c r="B35" s="42"/>
      <c r="C35" s="42"/>
    </row>
    <row r="36" spans="1:13" x14ac:dyDescent="0.2">
      <c r="A36" t="s">
        <v>6</v>
      </c>
      <c r="C36" s="27">
        <f>(C28+C29)/2</f>
        <v>1.375</v>
      </c>
      <c r="D36" s="27">
        <f>(D28+D29)/2</f>
        <v>8.35</v>
      </c>
      <c r="E36" s="1"/>
    </row>
    <row r="37" spans="1:13" x14ac:dyDescent="0.2">
      <c r="A37" t="s">
        <v>7</v>
      </c>
      <c r="C37" s="27">
        <f>(C21+C24+C26+C27+C30+C31+C32)/7</f>
        <v>0.60142857142857142</v>
      </c>
      <c r="D37" s="27">
        <f>(D21+D24+D26+D27+D30+D31+D32)/7</f>
        <v>3.5314285714285711</v>
      </c>
      <c r="E37" s="1"/>
    </row>
    <row r="38" spans="1:13" x14ac:dyDescent="0.2">
      <c r="A38" t="s">
        <v>8</v>
      </c>
      <c r="C38" s="27">
        <f>(C22+C23+C25)/3</f>
        <v>0.4366666666666667</v>
      </c>
      <c r="D38" s="27">
        <f>(D22+D23+D25)/3</f>
        <v>2.4066666666666667</v>
      </c>
    </row>
    <row r="40" spans="1:13" x14ac:dyDescent="0.2">
      <c r="A40" s="8" t="s">
        <v>17</v>
      </c>
      <c r="B40" s="3"/>
      <c r="C40" s="3"/>
      <c r="D40" s="3"/>
      <c r="E40" s="3"/>
      <c r="F40" s="3"/>
    </row>
    <row r="41" spans="1:13" x14ac:dyDescent="0.2">
      <c r="A41" s="40"/>
      <c r="B41" s="41" t="s">
        <v>23</v>
      </c>
      <c r="C41" s="39" t="s">
        <v>26</v>
      </c>
      <c r="D41" s="39"/>
      <c r="E41" s="35" t="s">
        <v>1</v>
      </c>
      <c r="F41" s="35" t="s">
        <v>2</v>
      </c>
      <c r="G41" s="35" t="s">
        <v>3</v>
      </c>
      <c r="H41" s="35" t="s">
        <v>4</v>
      </c>
    </row>
    <row r="42" spans="1:13" x14ac:dyDescent="0.2">
      <c r="A42" s="40"/>
      <c r="B42" s="41"/>
      <c r="C42" s="31" t="s">
        <v>24</v>
      </c>
      <c r="D42" s="31" t="s">
        <v>25</v>
      </c>
      <c r="E42" s="35"/>
      <c r="F42" s="35"/>
      <c r="G42" s="35"/>
      <c r="H42" s="35"/>
    </row>
    <row r="43" spans="1:13" x14ac:dyDescent="0.2">
      <c r="B43" s="4">
        <v>1</v>
      </c>
      <c r="C43" s="15">
        <f>C21</f>
        <v>0.66</v>
      </c>
      <c r="D43" s="15">
        <f>D21</f>
        <v>4.0199999999999996</v>
      </c>
      <c r="E43" s="13">
        <f>SQRT(((C43-$C$36)^2)+(D43-$D$36)^2)</f>
        <v>4.3886358928487104</v>
      </c>
      <c r="F43" s="13">
        <f>SQRT(((C43-$C$37)^2)+(D43-$D$37)^2)</f>
        <v>0.49206976442494854</v>
      </c>
      <c r="G43" s="14">
        <f>SQRT(((C43-$C$38)^2)+(D43-$D$38)^2)</f>
        <v>1.6287179689013751</v>
      </c>
      <c r="H43" s="16">
        <f>MIN(E43:F43:G43)</f>
        <v>0.49206976442494854</v>
      </c>
    </row>
    <row r="44" spans="1:13" x14ac:dyDescent="0.2">
      <c r="B44" s="4">
        <v>2</v>
      </c>
      <c r="C44" s="15">
        <f t="shared" ref="C44:D54" si="0">C22</f>
        <v>0.31</v>
      </c>
      <c r="D44" s="15">
        <f t="shared" si="0"/>
        <v>1.82</v>
      </c>
      <c r="E44" s="13">
        <f t="shared" ref="E44:E53" si="1">SQRT(((C44-$C$36)^2)+(D44-$D$36)^2)</f>
        <v>6.6162772765354987</v>
      </c>
      <c r="F44" s="13">
        <f t="shared" ref="F44:F54" si="2">SQRT(((C44-$C$37)^2)+(D44-$D$37)^2)</f>
        <v>1.7360640447134827</v>
      </c>
      <c r="G44" s="14">
        <f t="shared" ref="G44:G54" si="3">SQRT(((C44-$C$38)^2)+(D44-$D$38)^2)</f>
        <v>0.60018515661604155</v>
      </c>
      <c r="H44" s="16">
        <f>MIN(E44:F44:G44)</f>
        <v>0.60018515661604155</v>
      </c>
      <c r="K44" s="22"/>
      <c r="L44" s="28"/>
      <c r="M44" s="28"/>
    </row>
    <row r="45" spans="1:13" x14ac:dyDescent="0.2">
      <c r="B45" s="4">
        <v>3</v>
      </c>
      <c r="C45" s="15">
        <f t="shared" si="0"/>
        <v>0.49</v>
      </c>
      <c r="D45" s="15">
        <f t="shared" si="0"/>
        <v>2.59</v>
      </c>
      <c r="E45" s="13">
        <f t="shared" si="1"/>
        <v>5.8275916981202451</v>
      </c>
      <c r="F45" s="13">
        <f t="shared" si="2"/>
        <v>0.94800004305519558</v>
      </c>
      <c r="G45" s="14">
        <f t="shared" si="3"/>
        <v>0.19093337988826228</v>
      </c>
      <c r="H45" s="16">
        <f>MIN(E45:F45:G45)</f>
        <v>0.19093337988826228</v>
      </c>
      <c r="K45" s="22"/>
      <c r="L45" s="28"/>
      <c r="M45" s="28"/>
    </row>
    <row r="46" spans="1:13" x14ac:dyDescent="0.2">
      <c r="B46" s="4">
        <v>4</v>
      </c>
      <c r="C46" s="15">
        <f t="shared" si="0"/>
        <v>0.5</v>
      </c>
      <c r="D46" s="15">
        <f t="shared" si="0"/>
        <v>2.89</v>
      </c>
      <c r="E46" s="13">
        <f t="shared" si="1"/>
        <v>5.5296677115356569</v>
      </c>
      <c r="F46" s="13">
        <f t="shared" si="2"/>
        <v>0.64939846577193128</v>
      </c>
      <c r="G46" s="14">
        <f t="shared" si="3"/>
        <v>0.48746509846574887</v>
      </c>
      <c r="H46" s="16">
        <f>MIN(E46:F46:G46)</f>
        <v>0.48746509846574887</v>
      </c>
      <c r="K46" s="22"/>
      <c r="L46" s="28"/>
      <c r="M46" s="28"/>
    </row>
    <row r="47" spans="1:13" x14ac:dyDescent="0.2">
      <c r="B47" s="4">
        <v>5</v>
      </c>
      <c r="C47" s="15">
        <f t="shared" si="0"/>
        <v>0.51</v>
      </c>
      <c r="D47" s="15">
        <f t="shared" si="0"/>
        <v>2.81</v>
      </c>
      <c r="E47" s="13">
        <f t="shared" si="1"/>
        <v>5.607122702420555</v>
      </c>
      <c r="F47" s="13">
        <f t="shared" si="2"/>
        <v>0.72719898744906009</v>
      </c>
      <c r="G47" s="14">
        <f t="shared" si="3"/>
        <v>0.40994579587496144</v>
      </c>
      <c r="H47" s="16">
        <f>MIN(E47:F47:G47)</f>
        <v>0.40994579587496144</v>
      </c>
      <c r="K47" s="22"/>
      <c r="L47" s="28"/>
      <c r="M47" s="28"/>
    </row>
    <row r="48" spans="1:13" x14ac:dyDescent="0.2">
      <c r="B48" s="4">
        <v>6</v>
      </c>
      <c r="C48" s="15">
        <f t="shared" si="0"/>
        <v>0.65</v>
      </c>
      <c r="D48" s="15">
        <f t="shared" si="0"/>
        <v>4.6399999999999997</v>
      </c>
      <c r="E48" s="13">
        <f t="shared" si="1"/>
        <v>3.7801752604872698</v>
      </c>
      <c r="F48" s="13">
        <f t="shared" si="2"/>
        <v>1.1096349831896826</v>
      </c>
      <c r="G48" s="14">
        <f t="shared" si="3"/>
        <v>2.2434992509222922</v>
      </c>
      <c r="H48" s="16">
        <f>MIN(E48:F48:G48)</f>
        <v>1.1096349831896826</v>
      </c>
      <c r="K48" s="22"/>
      <c r="L48" s="28"/>
      <c r="M48" s="28"/>
    </row>
    <row r="49" spans="1:8" x14ac:dyDescent="0.2">
      <c r="B49" s="4">
        <v>7</v>
      </c>
      <c r="C49" s="15">
        <f t="shared" si="0"/>
        <v>0.72</v>
      </c>
      <c r="D49" s="15">
        <f t="shared" si="0"/>
        <v>3.87</v>
      </c>
      <c r="E49" s="13">
        <f t="shared" si="1"/>
        <v>4.527629070495947</v>
      </c>
      <c r="F49" s="13">
        <f t="shared" si="2"/>
        <v>0.35873360020824313</v>
      </c>
      <c r="G49" s="14">
        <f t="shared" si="3"/>
        <v>1.4905107252959378</v>
      </c>
      <c r="H49" s="16">
        <f>MIN(E49:F49:G49)</f>
        <v>0.35873360020824313</v>
      </c>
    </row>
    <row r="50" spans="1:8" x14ac:dyDescent="0.2">
      <c r="B50" s="4">
        <v>8</v>
      </c>
      <c r="C50" s="15">
        <f t="shared" si="0"/>
        <v>1.62</v>
      </c>
      <c r="D50" s="15">
        <f t="shared" si="0"/>
        <v>9.64</v>
      </c>
      <c r="E50" s="13">
        <f t="shared" si="1"/>
        <v>1.3130594045967616</v>
      </c>
      <c r="F50" s="13">
        <f t="shared" si="2"/>
        <v>6.1929098696058249</v>
      </c>
      <c r="G50" s="14">
        <f t="shared" si="3"/>
        <v>7.3294876279920755</v>
      </c>
      <c r="H50" s="16">
        <f>MIN(E50:F50:G50)</f>
        <v>1.3130594045967616</v>
      </c>
    </row>
    <row r="51" spans="1:8" x14ac:dyDescent="0.2">
      <c r="B51" s="4">
        <v>9</v>
      </c>
      <c r="C51" s="15">
        <f t="shared" si="0"/>
        <v>1.1299999999999999</v>
      </c>
      <c r="D51" s="15">
        <f t="shared" si="0"/>
        <v>7.06</v>
      </c>
      <c r="E51" s="13">
        <f t="shared" si="1"/>
        <v>1.313059404596761</v>
      </c>
      <c r="F51" s="13">
        <f t="shared" si="2"/>
        <v>3.5679411544520536</v>
      </c>
      <c r="G51" s="14">
        <f t="shared" si="3"/>
        <v>4.7047021395856943</v>
      </c>
      <c r="H51" s="16">
        <f>MIN(E51:F51:G51)</f>
        <v>1.313059404596761</v>
      </c>
    </row>
    <row r="52" spans="1:8" x14ac:dyDescent="0.2">
      <c r="B52" s="4">
        <v>10</v>
      </c>
      <c r="C52" s="15">
        <f t="shared" si="0"/>
        <v>0.61</v>
      </c>
      <c r="D52" s="15">
        <f t="shared" si="0"/>
        <v>3.29</v>
      </c>
      <c r="E52" s="13">
        <f t="shared" si="1"/>
        <v>5.1175018319488661</v>
      </c>
      <c r="F52" s="13">
        <f t="shared" si="2"/>
        <v>0.24158067904904099</v>
      </c>
      <c r="G52" s="14">
        <f t="shared" si="3"/>
        <v>0.90017899454620809</v>
      </c>
      <c r="H52" s="16">
        <f>MIN(E52:F52:G52)</f>
        <v>0.24158067904904099</v>
      </c>
    </row>
    <row r="53" spans="1:8" x14ac:dyDescent="0.2">
      <c r="B53" s="4">
        <v>11</v>
      </c>
      <c r="C53" s="15">
        <f t="shared" si="0"/>
        <v>0.48</v>
      </c>
      <c r="D53" s="15">
        <f t="shared" si="0"/>
        <v>2.9</v>
      </c>
      <c r="E53" s="13">
        <f t="shared" si="1"/>
        <v>5.5229996378779527</v>
      </c>
      <c r="F53" s="13">
        <f t="shared" si="2"/>
        <v>0.64299839717958074</v>
      </c>
      <c r="G53" s="14">
        <f t="shared" si="3"/>
        <v>0.49523282964233645</v>
      </c>
      <c r="H53" s="16">
        <f>MIN(E53:F53:G53)</f>
        <v>0.49523282964233645</v>
      </c>
    </row>
    <row r="54" spans="1:8" x14ac:dyDescent="0.2">
      <c r="B54" s="4">
        <v>12</v>
      </c>
      <c r="C54" s="15">
        <f t="shared" si="0"/>
        <v>0.59</v>
      </c>
      <c r="D54" s="15">
        <f t="shared" si="0"/>
        <v>3.11</v>
      </c>
      <c r="E54" s="13">
        <f>SQRT(((C54-$C$36)^2)+(D54-$D$36)^2)</f>
        <v>5.2984738368703876</v>
      </c>
      <c r="F54" s="13">
        <f t="shared" si="2"/>
        <v>0.42158350662854965</v>
      </c>
      <c r="G54" s="14">
        <f t="shared" si="3"/>
        <v>0.71985338013298827</v>
      </c>
      <c r="H54" s="16">
        <f>MIN(E54:F54:G54)</f>
        <v>0.42158350662854965</v>
      </c>
    </row>
    <row r="57" spans="1:8" x14ac:dyDescent="0.2">
      <c r="A57" s="9" t="s">
        <v>18</v>
      </c>
    </row>
    <row r="58" spans="1:8" x14ac:dyDescent="0.2">
      <c r="A58" s="31" t="s">
        <v>5</v>
      </c>
      <c r="B58" s="31" t="s">
        <v>1</v>
      </c>
      <c r="C58" s="31" t="s">
        <v>2</v>
      </c>
      <c r="D58" s="31" t="s">
        <v>3</v>
      </c>
    </row>
    <row r="59" spans="1:8" x14ac:dyDescent="0.2">
      <c r="A59" s="5">
        <v>1</v>
      </c>
      <c r="B59" s="5"/>
      <c r="C59" s="5">
        <v>1</v>
      </c>
      <c r="D59" s="5"/>
    </row>
    <row r="60" spans="1:8" x14ac:dyDescent="0.2">
      <c r="A60" s="5">
        <v>2</v>
      </c>
      <c r="B60" s="5"/>
      <c r="C60" s="5"/>
      <c r="D60" s="5">
        <v>1</v>
      </c>
    </row>
    <row r="61" spans="1:8" x14ac:dyDescent="0.2">
      <c r="A61" s="5">
        <v>3</v>
      </c>
      <c r="B61" s="5"/>
      <c r="C61" s="5"/>
      <c r="D61" s="5">
        <v>1</v>
      </c>
      <c r="F61" s="36" t="s">
        <v>10</v>
      </c>
      <c r="G61" s="36"/>
    </row>
    <row r="62" spans="1:8" x14ac:dyDescent="0.2">
      <c r="A62" s="5">
        <v>4</v>
      </c>
      <c r="B62" s="5"/>
      <c r="C62" s="5"/>
      <c r="D62" s="5">
        <v>1</v>
      </c>
      <c r="F62" s="36" t="s">
        <v>11</v>
      </c>
      <c r="G62" s="36"/>
    </row>
    <row r="63" spans="1:8" x14ac:dyDescent="0.2">
      <c r="A63" s="5">
        <v>5</v>
      </c>
      <c r="B63" s="5"/>
      <c r="C63" s="5"/>
      <c r="D63" s="5">
        <v>1</v>
      </c>
      <c r="F63" s="36"/>
      <c r="G63" s="36"/>
    </row>
    <row r="64" spans="1:8" x14ac:dyDescent="0.2">
      <c r="A64" s="5">
        <v>6</v>
      </c>
      <c r="B64" s="5"/>
      <c r="C64" s="5">
        <v>1</v>
      </c>
      <c r="D64" s="5"/>
      <c r="F64" s="36"/>
      <c r="G64" s="36"/>
    </row>
    <row r="65" spans="1:4" x14ac:dyDescent="0.2">
      <c r="A65" s="5">
        <v>7</v>
      </c>
      <c r="B65" s="5"/>
      <c r="C65" s="5">
        <v>1</v>
      </c>
      <c r="D65" s="5"/>
    </row>
    <row r="66" spans="1:4" x14ac:dyDescent="0.2">
      <c r="A66" s="5">
        <v>8</v>
      </c>
      <c r="B66" s="5">
        <v>1</v>
      </c>
      <c r="C66" s="5"/>
      <c r="D66" s="5"/>
    </row>
    <row r="67" spans="1:4" x14ac:dyDescent="0.2">
      <c r="A67" s="5">
        <v>9</v>
      </c>
      <c r="B67" s="5">
        <v>1</v>
      </c>
      <c r="C67" s="5"/>
      <c r="D67" s="5"/>
    </row>
    <row r="68" spans="1:4" x14ac:dyDescent="0.2">
      <c r="A68" s="5">
        <v>10</v>
      </c>
      <c r="B68" s="5"/>
      <c r="C68" s="5">
        <v>1</v>
      </c>
      <c r="D68" s="5"/>
    </row>
    <row r="69" spans="1:4" x14ac:dyDescent="0.2">
      <c r="A69" s="5">
        <v>11</v>
      </c>
      <c r="B69" s="5"/>
      <c r="C69" s="5"/>
      <c r="D69" s="5">
        <v>1</v>
      </c>
    </row>
    <row r="70" spans="1:4" x14ac:dyDescent="0.2">
      <c r="A70" s="5">
        <v>12</v>
      </c>
      <c r="B70" s="5"/>
      <c r="C70" s="5">
        <v>1</v>
      </c>
      <c r="D70" s="5"/>
    </row>
  </sheetData>
  <mergeCells count="13">
    <mergeCell ref="A35:C35"/>
    <mergeCell ref="A19:A20"/>
    <mergeCell ref="B19:B20"/>
    <mergeCell ref="C19:D19"/>
    <mergeCell ref="G41:G42"/>
    <mergeCell ref="H41:H42"/>
    <mergeCell ref="F61:G61"/>
    <mergeCell ref="F62:G64"/>
    <mergeCell ref="A41:A42"/>
    <mergeCell ref="B41:B42"/>
    <mergeCell ref="C41:D41"/>
    <mergeCell ref="E41:E42"/>
    <mergeCell ref="F41:F4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M72"/>
  <sheetViews>
    <sheetView topLeftCell="A40" workbookViewId="0">
      <selection activeCell="I44" sqref="I44:O54"/>
    </sheetView>
  </sheetViews>
  <sheetFormatPr baseColWidth="10" defaultColWidth="8.83203125" defaultRowHeight="15" x14ac:dyDescent="0.2"/>
  <cols>
    <col min="2" max="2" width="12" bestFit="1" customWidth="1"/>
    <col min="3" max="4" width="13.5" customWidth="1"/>
    <col min="8" max="8" width="15.5" bestFit="1" customWidth="1"/>
  </cols>
  <sheetData>
    <row r="3" spans="1:4" x14ac:dyDescent="0.2">
      <c r="A3" s="31" t="s">
        <v>23</v>
      </c>
      <c r="B3" s="31" t="s">
        <v>1</v>
      </c>
      <c r="C3" s="31" t="s">
        <v>2</v>
      </c>
      <c r="D3" s="31" t="s">
        <v>3</v>
      </c>
    </row>
    <row r="4" spans="1:4" x14ac:dyDescent="0.2">
      <c r="A4" s="5">
        <v>1</v>
      </c>
      <c r="B4" s="5"/>
      <c r="C4" s="5">
        <v>1</v>
      </c>
      <c r="D4" s="5"/>
    </row>
    <row r="5" spans="1:4" x14ac:dyDescent="0.2">
      <c r="A5" s="5">
        <v>2</v>
      </c>
      <c r="B5" s="5"/>
      <c r="C5" s="5"/>
      <c r="D5" s="5">
        <v>1</v>
      </c>
    </row>
    <row r="6" spans="1:4" x14ac:dyDescent="0.2">
      <c r="A6" s="5">
        <v>3</v>
      </c>
      <c r="B6" s="5"/>
      <c r="C6" s="5"/>
      <c r="D6" s="5">
        <v>1</v>
      </c>
    </row>
    <row r="7" spans="1:4" x14ac:dyDescent="0.2">
      <c r="A7" s="5">
        <v>4</v>
      </c>
      <c r="B7" s="5"/>
      <c r="C7" s="5"/>
      <c r="D7" s="5">
        <v>1</v>
      </c>
    </row>
    <row r="8" spans="1:4" x14ac:dyDescent="0.2">
      <c r="A8" s="5">
        <v>5</v>
      </c>
      <c r="B8" s="5"/>
      <c r="C8" s="5"/>
      <c r="D8" s="5">
        <v>1</v>
      </c>
    </row>
    <row r="9" spans="1:4" x14ac:dyDescent="0.2">
      <c r="A9" s="5">
        <v>6</v>
      </c>
      <c r="B9" s="5"/>
      <c r="C9" s="5">
        <v>1</v>
      </c>
      <c r="D9" s="5"/>
    </row>
    <row r="10" spans="1:4" x14ac:dyDescent="0.2">
      <c r="A10" s="5">
        <v>7</v>
      </c>
      <c r="B10" s="5"/>
      <c r="C10" s="5">
        <v>1</v>
      </c>
      <c r="D10" s="5"/>
    </row>
    <row r="11" spans="1:4" x14ac:dyDescent="0.2">
      <c r="A11" s="5">
        <v>8</v>
      </c>
      <c r="B11" s="5">
        <v>1</v>
      </c>
      <c r="C11" s="5"/>
      <c r="D11" s="5"/>
    </row>
    <row r="12" spans="1:4" x14ac:dyDescent="0.2">
      <c r="A12" s="5">
        <v>9</v>
      </c>
      <c r="B12" s="5">
        <v>1</v>
      </c>
      <c r="C12" s="5"/>
      <c r="D12" s="5"/>
    </row>
    <row r="13" spans="1:4" x14ac:dyDescent="0.2">
      <c r="A13" s="5">
        <v>10</v>
      </c>
      <c r="B13" s="5"/>
      <c r="C13" s="5">
        <v>1</v>
      </c>
      <c r="D13" s="5"/>
    </row>
    <row r="14" spans="1:4" x14ac:dyDescent="0.2">
      <c r="A14" s="5">
        <v>11</v>
      </c>
      <c r="B14" s="5"/>
      <c r="C14" s="5"/>
      <c r="D14" s="5">
        <v>1</v>
      </c>
    </row>
    <row r="15" spans="1:4" x14ac:dyDescent="0.2">
      <c r="A15" s="5">
        <v>12</v>
      </c>
      <c r="B15" s="5"/>
      <c r="C15" s="5">
        <v>1</v>
      </c>
      <c r="D15" s="5"/>
    </row>
    <row r="20" spans="1:7" x14ac:dyDescent="0.2">
      <c r="A20" s="40"/>
      <c r="B20" s="43" t="s">
        <v>23</v>
      </c>
      <c r="C20" s="39" t="s">
        <v>26</v>
      </c>
      <c r="D20" s="39"/>
      <c r="E20" s="25"/>
      <c r="F20" s="25"/>
      <c r="G20" s="25"/>
    </row>
    <row r="21" spans="1:7" x14ac:dyDescent="0.2">
      <c r="A21" s="40"/>
      <c r="B21" s="44"/>
      <c r="C21" s="31" t="s">
        <v>24</v>
      </c>
      <c r="D21" s="31" t="s">
        <v>25</v>
      </c>
      <c r="E21" s="24"/>
      <c r="F21" s="24"/>
      <c r="G21" s="24"/>
    </row>
    <row r="22" spans="1:7" x14ac:dyDescent="0.2">
      <c r="B22" s="7">
        <v>1</v>
      </c>
      <c r="C22" s="15">
        <v>0.66</v>
      </c>
      <c r="D22" s="15">
        <v>4.0199999999999996</v>
      </c>
      <c r="E22" s="2"/>
      <c r="F22" s="2"/>
      <c r="G22" s="2"/>
    </row>
    <row r="23" spans="1:7" x14ac:dyDescent="0.2">
      <c r="B23" s="4">
        <v>2</v>
      </c>
      <c r="C23" s="15">
        <v>0.31</v>
      </c>
      <c r="D23" s="15">
        <v>1.82</v>
      </c>
      <c r="E23" s="2"/>
      <c r="F23" s="2"/>
      <c r="G23" s="2"/>
    </row>
    <row r="24" spans="1:7" x14ac:dyDescent="0.2">
      <c r="B24" s="4">
        <v>3</v>
      </c>
      <c r="C24" s="15">
        <v>0.49</v>
      </c>
      <c r="D24" s="15">
        <v>2.59</v>
      </c>
      <c r="E24" s="2"/>
      <c r="F24" s="2"/>
      <c r="G24" s="2"/>
    </row>
    <row r="25" spans="1:7" x14ac:dyDescent="0.2">
      <c r="B25" s="4">
        <v>4</v>
      </c>
      <c r="C25" s="15">
        <v>0.5</v>
      </c>
      <c r="D25" s="15">
        <v>2.89</v>
      </c>
      <c r="E25" s="2"/>
      <c r="F25" s="2"/>
      <c r="G25" s="2"/>
    </row>
    <row r="26" spans="1:7" x14ac:dyDescent="0.2">
      <c r="B26" s="4">
        <v>5</v>
      </c>
      <c r="C26" s="15">
        <v>0.51</v>
      </c>
      <c r="D26" s="15">
        <v>2.81</v>
      </c>
      <c r="E26" s="2"/>
      <c r="F26" s="2"/>
      <c r="G26" s="2"/>
    </row>
    <row r="27" spans="1:7" x14ac:dyDescent="0.2">
      <c r="B27" s="4">
        <v>6</v>
      </c>
      <c r="C27" s="15">
        <v>0.65</v>
      </c>
      <c r="D27" s="15">
        <v>4.6399999999999997</v>
      </c>
      <c r="E27" s="2"/>
      <c r="F27" s="2"/>
      <c r="G27" s="2"/>
    </row>
    <row r="28" spans="1:7" x14ac:dyDescent="0.2">
      <c r="B28" s="4">
        <v>7</v>
      </c>
      <c r="C28" s="15">
        <v>0.72</v>
      </c>
      <c r="D28" s="15">
        <v>3.87</v>
      </c>
      <c r="E28" s="2"/>
      <c r="F28" s="2"/>
      <c r="G28" s="2"/>
    </row>
    <row r="29" spans="1:7" x14ac:dyDescent="0.2">
      <c r="B29" s="4">
        <v>8</v>
      </c>
      <c r="C29" s="15">
        <v>1.62</v>
      </c>
      <c r="D29" s="15">
        <v>9.64</v>
      </c>
      <c r="E29" s="2"/>
      <c r="F29" s="2"/>
      <c r="G29" s="2"/>
    </row>
    <row r="30" spans="1:7" x14ac:dyDescent="0.2">
      <c r="B30" s="4">
        <v>9</v>
      </c>
      <c r="C30" s="15">
        <v>1.1299999999999999</v>
      </c>
      <c r="D30" s="15">
        <v>7.06</v>
      </c>
      <c r="E30" s="2"/>
      <c r="F30" s="2"/>
      <c r="G30" s="2"/>
    </row>
    <row r="31" spans="1:7" x14ac:dyDescent="0.2">
      <c r="B31" s="4">
        <v>10</v>
      </c>
      <c r="C31" s="15">
        <v>0.61</v>
      </c>
      <c r="D31" s="15">
        <v>3.29</v>
      </c>
      <c r="E31" s="2"/>
      <c r="F31" s="2"/>
      <c r="G31" s="2"/>
    </row>
    <row r="32" spans="1:7" x14ac:dyDescent="0.2">
      <c r="B32" s="4">
        <v>11</v>
      </c>
      <c r="C32" s="15">
        <v>0.48</v>
      </c>
      <c r="D32" s="15">
        <v>2.9</v>
      </c>
      <c r="E32" s="2"/>
      <c r="F32" s="2"/>
      <c r="G32" s="2"/>
    </row>
    <row r="33" spans="1:13" x14ac:dyDescent="0.2">
      <c r="B33" s="4">
        <v>12</v>
      </c>
      <c r="C33" s="15">
        <v>0.59</v>
      </c>
      <c r="D33" s="15">
        <v>3.11</v>
      </c>
      <c r="E33" s="2"/>
      <c r="F33" s="2"/>
      <c r="G33" s="2"/>
    </row>
    <row r="37" spans="1:13" x14ac:dyDescent="0.2">
      <c r="A37" s="42" t="s">
        <v>0</v>
      </c>
      <c r="B37" s="42"/>
      <c r="C37" s="42"/>
    </row>
    <row r="38" spans="1:13" x14ac:dyDescent="0.2">
      <c r="A38" t="s">
        <v>6</v>
      </c>
      <c r="C38" s="26">
        <f>(C29+C30)/2</f>
        <v>1.375</v>
      </c>
      <c r="D38" s="26">
        <f>(D29+D30)/2</f>
        <v>8.35</v>
      </c>
      <c r="E38" s="1"/>
    </row>
    <row r="39" spans="1:13" x14ac:dyDescent="0.2">
      <c r="A39" t="s">
        <v>7</v>
      </c>
      <c r="C39" s="26">
        <f>(C22+C27+C28+C31+C33)/5</f>
        <v>0.64600000000000002</v>
      </c>
      <c r="D39" s="26">
        <f>(D22+D27+D28+D31+D33)/5</f>
        <v>3.786</v>
      </c>
      <c r="E39" s="1"/>
    </row>
    <row r="40" spans="1:13" x14ac:dyDescent="0.2">
      <c r="A40" t="s">
        <v>8</v>
      </c>
      <c r="C40" s="26">
        <f>(C23+C24+C25+C26+C32)/5</f>
        <v>0.45800000000000002</v>
      </c>
      <c r="D40" s="26">
        <f>(D23+D24+D25+D26+D32)/2</f>
        <v>6.5050000000000008</v>
      </c>
    </row>
    <row r="42" spans="1:13" x14ac:dyDescent="0.2">
      <c r="A42" s="8" t="s">
        <v>17</v>
      </c>
      <c r="B42" s="3"/>
      <c r="C42" s="3"/>
      <c r="D42" s="3"/>
      <c r="E42" s="3"/>
    </row>
    <row r="43" spans="1:13" x14ac:dyDescent="0.2">
      <c r="A43" s="40"/>
      <c r="B43" s="41" t="s">
        <v>23</v>
      </c>
      <c r="C43" s="39" t="s">
        <v>26</v>
      </c>
      <c r="D43" s="39"/>
      <c r="E43" s="35" t="s">
        <v>1</v>
      </c>
      <c r="F43" s="35" t="s">
        <v>2</v>
      </c>
      <c r="G43" s="35" t="s">
        <v>3</v>
      </c>
      <c r="H43" s="35" t="s">
        <v>4</v>
      </c>
    </row>
    <row r="44" spans="1:13" x14ac:dyDescent="0.2">
      <c r="A44" s="40"/>
      <c r="B44" s="41"/>
      <c r="C44" s="31" t="s">
        <v>24</v>
      </c>
      <c r="D44" s="31" t="s">
        <v>25</v>
      </c>
      <c r="E44" s="35"/>
      <c r="F44" s="35"/>
      <c r="G44" s="35"/>
      <c r="H44" s="35"/>
    </row>
    <row r="45" spans="1:13" x14ac:dyDescent="0.2">
      <c r="B45" s="4">
        <v>1</v>
      </c>
      <c r="C45" s="15">
        <f>C22</f>
        <v>0.66</v>
      </c>
      <c r="D45" s="15">
        <f>D22</f>
        <v>4.0199999999999996</v>
      </c>
      <c r="E45" s="13">
        <f>SQRT(((C45-$C$38)^2)+(D45-$D$38)^2)</f>
        <v>4.3886358928487104</v>
      </c>
      <c r="F45" s="13">
        <f>SQRT(((C45-$C$39)^2)+(D45-$D$39)^2)</f>
        <v>0.23441842930964235</v>
      </c>
      <c r="G45" s="14">
        <f>SQRT(((C45-$C$40)^2)+(D45-$D$40)^2)</f>
        <v>2.4931965425934646</v>
      </c>
      <c r="H45" s="16">
        <f>MIN(E45:F45:G45)</f>
        <v>0.23441842930964235</v>
      </c>
    </row>
    <row r="46" spans="1:13" x14ac:dyDescent="0.2">
      <c r="B46" s="4">
        <v>2</v>
      </c>
      <c r="C46" s="15">
        <f t="shared" ref="C46:D56" si="0">C23</f>
        <v>0.31</v>
      </c>
      <c r="D46" s="15">
        <f t="shared" si="0"/>
        <v>1.82</v>
      </c>
      <c r="E46" s="13">
        <f t="shared" ref="E46:E56" si="1">SQRT(((C46-$C$38)^2)+(D46-$D$38)^2)</f>
        <v>6.6162772765354987</v>
      </c>
      <c r="F46" s="13">
        <f t="shared" ref="F46:F56" si="2">SQRT(((C46-$C$39)^2)+(D46-$D$39)^2)</f>
        <v>1.9945054524869066</v>
      </c>
      <c r="G46" s="14">
        <f t="shared" ref="G46:G56" si="3">SQRT(((C46-$C$40)^2)+(D46-$D$40)^2)</f>
        <v>4.687337090502453</v>
      </c>
      <c r="H46" s="16">
        <f>MIN(E46:F46:G46)</f>
        <v>1.9945054524869066</v>
      </c>
    </row>
    <row r="47" spans="1:13" x14ac:dyDescent="0.2">
      <c r="B47" s="4">
        <v>3</v>
      </c>
      <c r="C47" s="15">
        <f t="shared" si="0"/>
        <v>0.49</v>
      </c>
      <c r="D47" s="15">
        <f t="shared" si="0"/>
        <v>2.59</v>
      </c>
      <c r="E47" s="13">
        <f t="shared" si="1"/>
        <v>5.8275916981202451</v>
      </c>
      <c r="F47" s="13">
        <f t="shared" si="2"/>
        <v>1.2061310044932931</v>
      </c>
      <c r="G47" s="14">
        <f t="shared" si="3"/>
        <v>3.9151307768706789</v>
      </c>
      <c r="H47" s="16">
        <f>MIN(E47:F47:G47)</f>
        <v>1.2061310044932931</v>
      </c>
      <c r="K47" s="22"/>
      <c r="L47" s="28"/>
      <c r="M47" s="28"/>
    </row>
    <row r="48" spans="1:13" x14ac:dyDescent="0.2">
      <c r="B48" s="4">
        <v>4</v>
      </c>
      <c r="C48" s="15">
        <f t="shared" si="0"/>
        <v>0.5</v>
      </c>
      <c r="D48" s="15">
        <f t="shared" si="0"/>
        <v>2.89</v>
      </c>
      <c r="E48" s="13">
        <f t="shared" si="1"/>
        <v>5.5296677115356569</v>
      </c>
      <c r="F48" s="13">
        <f t="shared" si="2"/>
        <v>0.90781716220833797</v>
      </c>
      <c r="G48" s="14">
        <f t="shared" si="3"/>
        <v>3.6152439751695882</v>
      </c>
      <c r="H48" s="16">
        <f>MIN(E48:F48:G48)</f>
        <v>0.90781716220833797</v>
      </c>
      <c r="K48" s="22"/>
      <c r="L48" s="28"/>
      <c r="M48" s="28"/>
    </row>
    <row r="49" spans="1:13" x14ac:dyDescent="0.2">
      <c r="B49" s="4">
        <v>5</v>
      </c>
      <c r="C49" s="15">
        <f t="shared" si="0"/>
        <v>0.51</v>
      </c>
      <c r="D49" s="15">
        <f t="shared" si="0"/>
        <v>2.81</v>
      </c>
      <c r="E49" s="13">
        <f t="shared" si="1"/>
        <v>5.607122702420555</v>
      </c>
      <c r="F49" s="13">
        <f t="shared" si="2"/>
        <v>0.98542985544380579</v>
      </c>
      <c r="G49" s="14">
        <f t="shared" si="3"/>
        <v>3.6953658817497361</v>
      </c>
      <c r="H49" s="16">
        <f>MIN(E49:F49:G49)</f>
        <v>0.98542985544380579</v>
      </c>
      <c r="K49" s="22"/>
      <c r="L49" s="28"/>
      <c r="M49" s="28"/>
    </row>
    <row r="50" spans="1:13" x14ac:dyDescent="0.2">
      <c r="B50" s="4">
        <v>6</v>
      </c>
      <c r="C50" s="15">
        <f t="shared" si="0"/>
        <v>0.65</v>
      </c>
      <c r="D50" s="15">
        <f t="shared" si="0"/>
        <v>4.6399999999999997</v>
      </c>
      <c r="E50" s="13">
        <f t="shared" si="1"/>
        <v>3.7801752604872698</v>
      </c>
      <c r="F50" s="13">
        <f t="shared" si="2"/>
        <v>0.85400936763012114</v>
      </c>
      <c r="G50" s="14">
        <f t="shared" si="3"/>
        <v>1.8748570612182691</v>
      </c>
      <c r="H50" s="16">
        <f>MIN(E50:F50:G50)</f>
        <v>0.85400936763012114</v>
      </c>
      <c r="K50" s="22"/>
      <c r="L50" s="28"/>
      <c r="M50" s="28"/>
    </row>
    <row r="51" spans="1:13" x14ac:dyDescent="0.2">
      <c r="B51" s="4">
        <v>7</v>
      </c>
      <c r="C51" s="15">
        <f t="shared" si="0"/>
        <v>0.72</v>
      </c>
      <c r="D51" s="15">
        <f t="shared" si="0"/>
        <v>3.87</v>
      </c>
      <c r="E51" s="13">
        <f t="shared" si="1"/>
        <v>4.527629070495947</v>
      </c>
      <c r="F51" s="13">
        <f t="shared" si="2"/>
        <v>0.11194641575325226</v>
      </c>
      <c r="G51" s="14">
        <f t="shared" si="3"/>
        <v>2.6479933912304245</v>
      </c>
      <c r="H51" s="16">
        <f>MIN(E51:F51:G51)</f>
        <v>0.11194641575325226</v>
      </c>
      <c r="K51" s="22"/>
      <c r="L51" s="28"/>
      <c r="M51" s="28"/>
    </row>
    <row r="52" spans="1:13" x14ac:dyDescent="0.2">
      <c r="B52" s="4">
        <v>8</v>
      </c>
      <c r="C52" s="15">
        <f t="shared" si="0"/>
        <v>1.62</v>
      </c>
      <c r="D52" s="15">
        <f t="shared" si="0"/>
        <v>9.64</v>
      </c>
      <c r="E52" s="13">
        <f t="shared" si="1"/>
        <v>1.3130594045967616</v>
      </c>
      <c r="F52" s="13">
        <f t="shared" si="2"/>
        <v>5.9344748714608277</v>
      </c>
      <c r="G52" s="14">
        <f t="shared" si="3"/>
        <v>3.3434217502433041</v>
      </c>
      <c r="H52" s="16">
        <f>MIN(E52:F52:G52)</f>
        <v>1.3130594045967616</v>
      </c>
    </row>
    <row r="53" spans="1:13" x14ac:dyDescent="0.2">
      <c r="B53" s="4">
        <v>9</v>
      </c>
      <c r="C53" s="15">
        <f t="shared" si="0"/>
        <v>1.1299999999999999</v>
      </c>
      <c r="D53" s="15">
        <f t="shared" si="0"/>
        <v>7.06</v>
      </c>
      <c r="E53" s="13">
        <f t="shared" si="1"/>
        <v>1.313059404596761</v>
      </c>
      <c r="F53" s="13">
        <f t="shared" si="2"/>
        <v>3.3095818466990656</v>
      </c>
      <c r="G53" s="14">
        <f t="shared" si="3"/>
        <v>0.87155550597767362</v>
      </c>
      <c r="H53" s="16">
        <f>MIN(E53:F53:G53)</f>
        <v>0.87155550597767362</v>
      </c>
    </row>
    <row r="54" spans="1:13" x14ac:dyDescent="0.2">
      <c r="B54" s="4">
        <v>10</v>
      </c>
      <c r="C54" s="15">
        <f t="shared" si="0"/>
        <v>0.61</v>
      </c>
      <c r="D54" s="15">
        <f t="shared" si="0"/>
        <v>3.29</v>
      </c>
      <c r="E54" s="13">
        <f t="shared" si="1"/>
        <v>5.1175018319488661</v>
      </c>
      <c r="F54" s="13">
        <f t="shared" si="2"/>
        <v>0.49730473554954208</v>
      </c>
      <c r="G54" s="14">
        <f t="shared" si="3"/>
        <v>3.2185911514201373</v>
      </c>
      <c r="H54" s="16">
        <f>MIN(E54:F54:G54)</f>
        <v>0.49730473554954208</v>
      </c>
    </row>
    <row r="55" spans="1:13" x14ac:dyDescent="0.2">
      <c r="B55" s="4">
        <v>11</v>
      </c>
      <c r="C55" s="15">
        <f t="shared" si="0"/>
        <v>0.48</v>
      </c>
      <c r="D55" s="15">
        <f t="shared" si="0"/>
        <v>2.9</v>
      </c>
      <c r="E55" s="13">
        <f t="shared" si="1"/>
        <v>5.5229996378779527</v>
      </c>
      <c r="F55" s="13">
        <f t="shared" si="2"/>
        <v>0.90141666281470534</v>
      </c>
      <c r="G55" s="14">
        <f t="shared" si="3"/>
        <v>3.6050671283625229</v>
      </c>
      <c r="H55" s="16">
        <f>MIN(E55:F55:G55)</f>
        <v>0.90141666281470534</v>
      </c>
    </row>
    <row r="56" spans="1:13" x14ac:dyDescent="0.2">
      <c r="B56" s="4">
        <v>12</v>
      </c>
      <c r="C56" s="15">
        <f t="shared" si="0"/>
        <v>0.59</v>
      </c>
      <c r="D56" s="15">
        <f t="shared" si="0"/>
        <v>3.11</v>
      </c>
      <c r="E56" s="13">
        <f t="shared" si="1"/>
        <v>5.2984738368703876</v>
      </c>
      <c r="F56" s="13">
        <f t="shared" si="2"/>
        <v>0.67831556078273791</v>
      </c>
      <c r="G56" s="14">
        <f t="shared" si="3"/>
        <v>3.3975651575797641</v>
      </c>
      <c r="H56" s="16">
        <f>MIN(E56:F56:G56)</f>
        <v>0.67831556078273791</v>
      </c>
    </row>
    <row r="59" spans="1:13" x14ac:dyDescent="0.2">
      <c r="A59" s="8" t="s">
        <v>19</v>
      </c>
      <c r="B59" s="3"/>
      <c r="C59" s="3"/>
    </row>
    <row r="60" spans="1:13" x14ac:dyDescent="0.2">
      <c r="A60" s="31" t="s">
        <v>5</v>
      </c>
      <c r="B60" s="31" t="s">
        <v>1</v>
      </c>
      <c r="C60" s="31" t="s">
        <v>2</v>
      </c>
      <c r="D60" s="31" t="s">
        <v>3</v>
      </c>
    </row>
    <row r="61" spans="1:13" x14ac:dyDescent="0.2">
      <c r="A61" s="5">
        <v>1</v>
      </c>
      <c r="B61" s="5"/>
      <c r="C61" s="5">
        <v>1</v>
      </c>
      <c r="D61" s="5"/>
    </row>
    <row r="62" spans="1:13" x14ac:dyDescent="0.2">
      <c r="A62" s="5">
        <v>2</v>
      </c>
      <c r="B62" s="5"/>
      <c r="C62" s="5">
        <v>1</v>
      </c>
      <c r="D62" s="5" t="s">
        <v>9</v>
      </c>
    </row>
    <row r="63" spans="1:13" x14ac:dyDescent="0.2">
      <c r="A63" s="5">
        <v>3</v>
      </c>
      <c r="B63" s="5"/>
      <c r="C63" s="5">
        <v>1</v>
      </c>
      <c r="D63" s="5" t="s">
        <v>9</v>
      </c>
    </row>
    <row r="64" spans="1:13" x14ac:dyDescent="0.2">
      <c r="A64" s="5">
        <v>4</v>
      </c>
      <c r="B64" s="5"/>
      <c r="C64" s="5">
        <v>1</v>
      </c>
      <c r="D64" s="5" t="s">
        <v>9</v>
      </c>
      <c r="G64" s="36" t="s">
        <v>10</v>
      </c>
      <c r="H64" s="36"/>
    </row>
    <row r="65" spans="1:8" x14ac:dyDescent="0.2">
      <c r="A65" s="5">
        <v>5</v>
      </c>
      <c r="B65" s="5"/>
      <c r="C65" s="5">
        <v>1</v>
      </c>
      <c r="D65" s="5" t="s">
        <v>9</v>
      </c>
      <c r="G65" s="36" t="s">
        <v>11</v>
      </c>
      <c r="H65" s="36"/>
    </row>
    <row r="66" spans="1:8" x14ac:dyDescent="0.2">
      <c r="A66" s="5">
        <v>6</v>
      </c>
      <c r="B66" s="5"/>
      <c r="C66" s="5">
        <v>1</v>
      </c>
      <c r="D66" s="5"/>
      <c r="G66" s="36"/>
      <c r="H66" s="36"/>
    </row>
    <row r="67" spans="1:8" x14ac:dyDescent="0.2">
      <c r="A67" s="5">
        <v>7</v>
      </c>
      <c r="B67" s="5"/>
      <c r="C67" s="5">
        <v>1</v>
      </c>
      <c r="D67" s="5"/>
      <c r="G67" s="36"/>
      <c r="H67" s="36"/>
    </row>
    <row r="68" spans="1:8" x14ac:dyDescent="0.2">
      <c r="A68" s="5">
        <v>8</v>
      </c>
      <c r="B68" s="5">
        <v>1</v>
      </c>
      <c r="C68" s="5"/>
      <c r="D68" s="5"/>
    </row>
    <row r="69" spans="1:8" x14ac:dyDescent="0.2">
      <c r="A69" s="5">
        <v>9</v>
      </c>
      <c r="B69" s="5" t="s">
        <v>9</v>
      </c>
      <c r="C69" s="5"/>
      <c r="D69" s="5">
        <v>1</v>
      </c>
    </row>
    <row r="70" spans="1:8" x14ac:dyDescent="0.2">
      <c r="A70" s="5">
        <v>10</v>
      </c>
      <c r="B70" s="5"/>
      <c r="C70" s="5">
        <v>1</v>
      </c>
      <c r="D70" s="5"/>
    </row>
    <row r="71" spans="1:8" x14ac:dyDescent="0.2">
      <c r="A71" s="5">
        <v>11</v>
      </c>
      <c r="B71" s="5"/>
      <c r="C71" s="5">
        <v>1</v>
      </c>
      <c r="D71" s="5" t="s">
        <v>9</v>
      </c>
    </row>
    <row r="72" spans="1:8" x14ac:dyDescent="0.2">
      <c r="A72" s="5">
        <v>12</v>
      </c>
      <c r="B72" s="5"/>
      <c r="C72" s="5">
        <v>1</v>
      </c>
      <c r="D72" s="5"/>
    </row>
  </sheetData>
  <mergeCells count="13">
    <mergeCell ref="A37:C37"/>
    <mergeCell ref="A20:A21"/>
    <mergeCell ref="B20:B21"/>
    <mergeCell ref="C20:D20"/>
    <mergeCell ref="G43:G44"/>
    <mergeCell ref="H43:H44"/>
    <mergeCell ref="G64:H64"/>
    <mergeCell ref="G65:H67"/>
    <mergeCell ref="A43:A44"/>
    <mergeCell ref="B43:B44"/>
    <mergeCell ref="C43:D43"/>
    <mergeCell ref="E43:E44"/>
    <mergeCell ref="F43:F4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6:M78"/>
  <sheetViews>
    <sheetView tabSelected="1" topLeftCell="A41" zoomScale="150" zoomScaleNormal="100" workbookViewId="0">
      <selection activeCell="J49" sqref="J49:M56"/>
    </sheetView>
  </sheetViews>
  <sheetFormatPr baseColWidth="10" defaultColWidth="8.83203125" defaultRowHeight="15" x14ac:dyDescent="0.2"/>
  <cols>
    <col min="1" max="1" width="11.83203125" customWidth="1"/>
    <col min="2" max="2" width="12" bestFit="1" customWidth="1"/>
    <col min="3" max="3" width="13" customWidth="1"/>
    <col min="4" max="4" width="12.5" customWidth="1"/>
    <col min="5" max="5" width="11.33203125" customWidth="1"/>
    <col min="6" max="6" width="11" customWidth="1"/>
    <col min="7" max="7" width="10.6640625" customWidth="1"/>
    <col min="8" max="8" width="15.5" bestFit="1" customWidth="1"/>
  </cols>
  <sheetData>
    <row r="6" spans="1:4" x14ac:dyDescent="0.2">
      <c r="A6" s="31" t="s">
        <v>23</v>
      </c>
      <c r="B6" s="31" t="s">
        <v>1</v>
      </c>
      <c r="C6" s="31" t="s">
        <v>2</v>
      </c>
      <c r="D6" s="31" t="s">
        <v>3</v>
      </c>
    </row>
    <row r="7" spans="1:4" x14ac:dyDescent="0.2">
      <c r="A7" s="5">
        <v>1</v>
      </c>
      <c r="B7" s="5"/>
      <c r="C7" s="5">
        <v>1</v>
      </c>
      <c r="D7" s="5"/>
    </row>
    <row r="8" spans="1:4" x14ac:dyDescent="0.2">
      <c r="A8" s="5">
        <v>2</v>
      </c>
      <c r="B8" s="5"/>
      <c r="C8" s="5">
        <v>1</v>
      </c>
      <c r="D8" s="5" t="s">
        <v>9</v>
      </c>
    </row>
    <row r="9" spans="1:4" x14ac:dyDescent="0.2">
      <c r="A9" s="5">
        <v>3</v>
      </c>
      <c r="B9" s="5"/>
      <c r="C9" s="5">
        <v>1</v>
      </c>
      <c r="D9" s="5" t="s">
        <v>9</v>
      </c>
    </row>
    <row r="10" spans="1:4" x14ac:dyDescent="0.2">
      <c r="A10" s="5">
        <v>4</v>
      </c>
      <c r="B10" s="5"/>
      <c r="C10" s="5">
        <v>1</v>
      </c>
      <c r="D10" s="5" t="s">
        <v>9</v>
      </c>
    </row>
    <row r="11" spans="1:4" x14ac:dyDescent="0.2">
      <c r="A11" s="5">
        <v>5</v>
      </c>
      <c r="B11" s="5"/>
      <c r="C11" s="5">
        <v>1</v>
      </c>
      <c r="D11" s="5" t="s">
        <v>9</v>
      </c>
    </row>
    <row r="12" spans="1:4" x14ac:dyDescent="0.2">
      <c r="A12" s="5">
        <v>6</v>
      </c>
      <c r="B12" s="5"/>
      <c r="C12" s="5">
        <v>1</v>
      </c>
      <c r="D12" s="5"/>
    </row>
    <row r="13" spans="1:4" x14ac:dyDescent="0.2">
      <c r="A13" s="5">
        <v>7</v>
      </c>
      <c r="B13" s="5"/>
      <c r="C13" s="5">
        <v>1</v>
      </c>
      <c r="D13" s="5"/>
    </row>
    <row r="14" spans="1:4" x14ac:dyDescent="0.2">
      <c r="A14" s="5">
        <v>8</v>
      </c>
      <c r="B14" s="5">
        <v>1</v>
      </c>
      <c r="C14" s="5"/>
      <c r="D14" s="5"/>
    </row>
    <row r="15" spans="1:4" x14ac:dyDescent="0.2">
      <c r="A15" s="5">
        <v>9</v>
      </c>
      <c r="B15" s="5" t="s">
        <v>9</v>
      </c>
      <c r="C15" s="5"/>
      <c r="D15" s="5">
        <v>1</v>
      </c>
    </row>
    <row r="16" spans="1:4" x14ac:dyDescent="0.2">
      <c r="A16" s="5">
        <v>10</v>
      </c>
      <c r="B16" s="5"/>
      <c r="C16" s="5">
        <v>1</v>
      </c>
      <c r="D16" s="5"/>
    </row>
    <row r="17" spans="1:7" x14ac:dyDescent="0.2">
      <c r="A17" s="5">
        <v>11</v>
      </c>
      <c r="B17" s="5"/>
      <c r="C17" s="5">
        <v>1</v>
      </c>
      <c r="D17" s="5" t="s">
        <v>9</v>
      </c>
    </row>
    <row r="18" spans="1:7" x14ac:dyDescent="0.2">
      <c r="A18" s="5">
        <v>12</v>
      </c>
      <c r="B18" s="5"/>
      <c r="C18" s="5">
        <v>1</v>
      </c>
      <c r="D18" s="5"/>
    </row>
    <row r="24" spans="1:7" x14ac:dyDescent="0.2">
      <c r="A24" s="40"/>
      <c r="B24" s="43" t="s">
        <v>23</v>
      </c>
      <c r="C24" s="39" t="s">
        <v>26</v>
      </c>
      <c r="D24" s="39"/>
      <c r="E24" s="45"/>
      <c r="F24" s="45"/>
      <c r="G24" s="45"/>
    </row>
    <row r="25" spans="1:7" x14ac:dyDescent="0.2">
      <c r="A25" s="40"/>
      <c r="B25" s="44"/>
      <c r="C25" s="31" t="s">
        <v>24</v>
      </c>
      <c r="D25" s="31" t="s">
        <v>25</v>
      </c>
      <c r="E25" s="24"/>
      <c r="F25" s="24"/>
      <c r="G25" s="24"/>
    </row>
    <row r="26" spans="1:7" x14ac:dyDescent="0.2">
      <c r="B26" s="7">
        <v>1</v>
      </c>
      <c r="C26" s="15">
        <v>0.66</v>
      </c>
      <c r="D26" s="15">
        <v>4.0199999999999996</v>
      </c>
      <c r="E26" s="29"/>
      <c r="F26" s="24"/>
      <c r="G26" s="29"/>
    </row>
    <row r="27" spans="1:7" x14ac:dyDescent="0.2">
      <c r="B27" s="4">
        <v>2</v>
      </c>
      <c r="C27" s="15">
        <v>0.31</v>
      </c>
      <c r="D27" s="15">
        <v>1.82</v>
      </c>
      <c r="E27" s="29"/>
      <c r="F27" s="24"/>
      <c r="G27" s="29"/>
    </row>
    <row r="28" spans="1:7" x14ac:dyDescent="0.2">
      <c r="B28" s="4">
        <v>3</v>
      </c>
      <c r="C28" s="15">
        <v>0.49</v>
      </c>
      <c r="D28" s="15">
        <v>2.59</v>
      </c>
      <c r="E28" s="24"/>
      <c r="F28" s="24"/>
      <c r="G28" s="24"/>
    </row>
    <row r="29" spans="1:7" x14ac:dyDescent="0.2">
      <c r="B29" s="4">
        <v>4</v>
      </c>
      <c r="C29" s="15">
        <v>0.5</v>
      </c>
      <c r="D29" s="15">
        <v>2.89</v>
      </c>
      <c r="E29" s="24"/>
      <c r="F29" s="24"/>
      <c r="G29" s="24"/>
    </row>
    <row r="30" spans="1:7" x14ac:dyDescent="0.2">
      <c r="B30" s="4">
        <v>5</v>
      </c>
      <c r="C30" s="15">
        <v>0.51</v>
      </c>
      <c r="D30" s="15">
        <v>2.81</v>
      </c>
      <c r="E30" s="24"/>
      <c r="F30" s="24"/>
      <c r="G30" s="24"/>
    </row>
    <row r="31" spans="1:7" x14ac:dyDescent="0.2">
      <c r="B31" s="4">
        <v>6</v>
      </c>
      <c r="C31" s="15">
        <v>0.65</v>
      </c>
      <c r="D31" s="15">
        <v>4.6399999999999997</v>
      </c>
      <c r="E31" s="24"/>
      <c r="F31" s="24"/>
      <c r="G31" s="24"/>
    </row>
    <row r="32" spans="1:7" x14ac:dyDescent="0.2">
      <c r="B32" s="4">
        <v>7</v>
      </c>
      <c r="C32" s="15">
        <v>0.72</v>
      </c>
      <c r="D32" s="15">
        <v>3.87</v>
      </c>
      <c r="E32" s="24"/>
      <c r="F32" s="24"/>
      <c r="G32" s="24"/>
    </row>
    <row r="33" spans="1:8" x14ac:dyDescent="0.2">
      <c r="B33" s="4">
        <v>8</v>
      </c>
      <c r="C33" s="15">
        <v>1.62</v>
      </c>
      <c r="D33" s="15">
        <v>9.64</v>
      </c>
      <c r="E33" s="24"/>
      <c r="F33" s="24"/>
      <c r="G33" s="24"/>
    </row>
    <row r="34" spans="1:8" x14ac:dyDescent="0.2">
      <c r="B34" s="4">
        <v>9</v>
      </c>
      <c r="C34" s="15">
        <v>1.1299999999999999</v>
      </c>
      <c r="D34" s="15">
        <v>7.06</v>
      </c>
      <c r="E34" s="24"/>
      <c r="F34" s="24"/>
      <c r="G34" s="24"/>
    </row>
    <row r="35" spans="1:8" x14ac:dyDescent="0.2">
      <c r="B35" s="4">
        <v>10</v>
      </c>
      <c r="C35" s="15">
        <v>0.61</v>
      </c>
      <c r="D35" s="15">
        <v>3.29</v>
      </c>
      <c r="E35" s="24"/>
      <c r="F35" s="24"/>
      <c r="G35" s="24"/>
    </row>
    <row r="36" spans="1:8" x14ac:dyDescent="0.2">
      <c r="B36" s="4">
        <v>11</v>
      </c>
      <c r="C36" s="15">
        <v>0.48</v>
      </c>
      <c r="D36" s="15">
        <v>2.9</v>
      </c>
      <c r="E36" s="24"/>
      <c r="F36" s="24"/>
      <c r="G36" s="24"/>
    </row>
    <row r="37" spans="1:8" x14ac:dyDescent="0.2">
      <c r="B37" s="4">
        <v>12</v>
      </c>
      <c r="C37" s="15">
        <v>0.59</v>
      </c>
      <c r="D37" s="15">
        <v>3.11</v>
      </c>
      <c r="E37" s="24"/>
      <c r="F37" s="24"/>
      <c r="G37" s="24"/>
    </row>
    <row r="41" spans="1:8" x14ac:dyDescent="0.2">
      <c r="A41" s="42" t="s">
        <v>0</v>
      </c>
      <c r="B41" s="42"/>
      <c r="C41" s="42"/>
    </row>
    <row r="42" spans="1:8" x14ac:dyDescent="0.2">
      <c r="A42" t="s">
        <v>6</v>
      </c>
      <c r="C42" s="26">
        <f>C33</f>
        <v>1.62</v>
      </c>
      <c r="D42" s="26">
        <f>D33</f>
        <v>9.64</v>
      </c>
      <c r="E42" s="1"/>
    </row>
    <row r="43" spans="1:8" x14ac:dyDescent="0.2">
      <c r="A43" t="s">
        <v>7</v>
      </c>
      <c r="C43" s="1">
        <f>SUM(C26,C27,C28,C29,C30,C31,C32,C35,C36,C37)/10</f>
        <v>0.55199999999999994</v>
      </c>
      <c r="D43" s="1">
        <f>(D26+D31+D32+D35+D37)/5</f>
        <v>3.786</v>
      </c>
      <c r="E43" s="1"/>
    </row>
    <row r="44" spans="1:8" x14ac:dyDescent="0.2">
      <c r="A44" t="s">
        <v>8</v>
      </c>
      <c r="C44" s="26">
        <f>C34</f>
        <v>1.1299999999999999</v>
      </c>
      <c r="D44" s="26">
        <f>D34</f>
        <v>7.06</v>
      </c>
    </row>
    <row r="46" spans="1:8" x14ac:dyDescent="0.2">
      <c r="A46" s="8" t="s">
        <v>17</v>
      </c>
      <c r="B46" s="3"/>
      <c r="C46" s="3"/>
      <c r="D46" s="3"/>
      <c r="E46" s="3"/>
    </row>
    <row r="47" spans="1:8" x14ac:dyDescent="0.2">
      <c r="A47" s="40"/>
      <c r="B47" s="41" t="s">
        <v>23</v>
      </c>
      <c r="C47" s="39" t="s">
        <v>26</v>
      </c>
      <c r="D47" s="39"/>
      <c r="E47" s="35" t="s">
        <v>1</v>
      </c>
      <c r="F47" s="35" t="s">
        <v>2</v>
      </c>
      <c r="G47" s="35" t="s">
        <v>3</v>
      </c>
      <c r="H47" s="35" t="s">
        <v>4</v>
      </c>
    </row>
    <row r="48" spans="1:8" x14ac:dyDescent="0.2">
      <c r="A48" s="40"/>
      <c r="B48" s="41"/>
      <c r="C48" s="31" t="s">
        <v>24</v>
      </c>
      <c r="D48" s="31" t="s">
        <v>25</v>
      </c>
      <c r="E48" s="35"/>
      <c r="F48" s="35"/>
      <c r="G48" s="35"/>
      <c r="H48" s="35"/>
    </row>
    <row r="49" spans="2:13" x14ac:dyDescent="0.2">
      <c r="B49" s="4">
        <v>1</v>
      </c>
      <c r="C49" s="15">
        <f>C26</f>
        <v>0.66</v>
      </c>
      <c r="D49" s="15">
        <f>D26</f>
        <v>4.0199999999999996</v>
      </c>
      <c r="E49" s="13">
        <f>SQRT(((C49-$C$42)^2)+(D49-$D$42)^2)</f>
        <v>5.7014033360217562</v>
      </c>
      <c r="F49" s="13">
        <f>SQRT(((C49-$C$43)^2)+(D49-$D$43)^2)</f>
        <v>0.25772077913897401</v>
      </c>
      <c r="G49" s="14">
        <f>SQRT(((C49-$C$44)^2)+(D49-$D$44)^2)</f>
        <v>3.076117683054405</v>
      </c>
      <c r="H49" s="16">
        <f>MIN(E49:F49:G49)</f>
        <v>0.25772077913897401</v>
      </c>
    </row>
    <row r="50" spans="2:13" x14ac:dyDescent="0.2">
      <c r="B50" s="4">
        <v>2</v>
      </c>
      <c r="C50" s="15">
        <f t="shared" ref="C50:D60" si="0">C27</f>
        <v>0.31</v>
      </c>
      <c r="D50" s="15">
        <f t="shared" si="0"/>
        <v>1.82</v>
      </c>
      <c r="E50" s="13">
        <f t="shared" ref="E50:E60" si="1">SQRT(((C50-$C$42)^2)+(D50-$D$42)^2)</f>
        <v>7.92896588465356</v>
      </c>
      <c r="F50" s="13">
        <f t="shared" ref="F50:F60" si="2">SQRT(((C50-$C$43)^2)+(D50-$D$43)^2)</f>
        <v>1.9808382064166674</v>
      </c>
      <c r="G50" s="14">
        <f t="shared" ref="G50:G60" si="3">SQRT(((C50-$C$44)^2)+(D50-$D$44)^2)</f>
        <v>5.3037722424704468</v>
      </c>
      <c r="H50" s="16">
        <f>MIN(E50:F50:G50)</f>
        <v>1.9808382064166674</v>
      </c>
    </row>
    <row r="51" spans="2:13" x14ac:dyDescent="0.2">
      <c r="B51" s="4">
        <v>3</v>
      </c>
      <c r="C51" s="15">
        <f t="shared" si="0"/>
        <v>0.49</v>
      </c>
      <c r="D51" s="15">
        <f t="shared" si="0"/>
        <v>2.59</v>
      </c>
      <c r="E51" s="13">
        <f t="shared" si="1"/>
        <v>7.1399859943840234</v>
      </c>
      <c r="F51" s="13">
        <f t="shared" si="2"/>
        <v>1.1976059452090242</v>
      </c>
      <c r="G51" s="14">
        <f t="shared" si="3"/>
        <v>4.5155841261125893</v>
      </c>
      <c r="H51" s="16">
        <f>MIN(E51:F51:G51)</f>
        <v>1.1976059452090242</v>
      </c>
      <c r="K51" s="22"/>
      <c r="L51" s="28"/>
      <c r="M51" s="28"/>
    </row>
    <row r="52" spans="2:13" x14ac:dyDescent="0.2">
      <c r="B52" s="4">
        <v>4</v>
      </c>
      <c r="C52" s="15">
        <f t="shared" si="0"/>
        <v>0.5</v>
      </c>
      <c r="D52" s="15">
        <f t="shared" si="0"/>
        <v>2.89</v>
      </c>
      <c r="E52" s="13">
        <f t="shared" si="1"/>
        <v>6.8422876291486023</v>
      </c>
      <c r="F52" s="13">
        <f t="shared" si="2"/>
        <v>0.89750766013444139</v>
      </c>
      <c r="G52" s="14">
        <f t="shared" si="3"/>
        <v>4.2173214247908586</v>
      </c>
      <c r="H52" s="16">
        <f>MIN(E52:F52:G52)</f>
        <v>0.89750766013444139</v>
      </c>
      <c r="K52" s="22"/>
      <c r="L52" s="28"/>
      <c r="M52" s="28"/>
    </row>
    <row r="53" spans="2:13" x14ac:dyDescent="0.2">
      <c r="B53" s="4">
        <v>5</v>
      </c>
      <c r="C53" s="15">
        <f t="shared" si="0"/>
        <v>0.51</v>
      </c>
      <c r="D53" s="15">
        <f t="shared" si="0"/>
        <v>2.81</v>
      </c>
      <c r="E53" s="13">
        <f t="shared" si="1"/>
        <v>6.9196098155893155</v>
      </c>
      <c r="F53" s="13">
        <f t="shared" si="2"/>
        <v>0.97690327054422332</v>
      </c>
      <c r="G53" s="14">
        <f t="shared" si="3"/>
        <v>4.2949854481709249</v>
      </c>
      <c r="H53" s="16">
        <f>MIN(E53:F53:G53)</f>
        <v>0.97690327054422332</v>
      </c>
      <c r="K53" s="22"/>
      <c r="L53" s="28"/>
      <c r="M53" s="28"/>
    </row>
    <row r="54" spans="2:13" x14ac:dyDescent="0.2">
      <c r="B54" s="4">
        <v>6</v>
      </c>
      <c r="C54" s="15">
        <f t="shared" si="0"/>
        <v>0.65</v>
      </c>
      <c r="D54" s="15">
        <f t="shared" si="0"/>
        <v>4.6399999999999997</v>
      </c>
      <c r="E54" s="13">
        <f t="shared" si="1"/>
        <v>5.0932209847993057</v>
      </c>
      <c r="F54" s="13">
        <f t="shared" si="2"/>
        <v>0.85960456024848975</v>
      </c>
      <c r="G54" s="14">
        <f t="shared" si="3"/>
        <v>2.4671440979399639</v>
      </c>
      <c r="H54" s="16">
        <f>MIN(E54:F54:G54)</f>
        <v>0.85960456024848975</v>
      </c>
      <c r="K54" s="22"/>
      <c r="L54" s="28"/>
      <c r="M54" s="28"/>
    </row>
    <row r="55" spans="2:13" x14ac:dyDescent="0.2">
      <c r="B55" s="4">
        <v>7</v>
      </c>
      <c r="C55" s="15">
        <f t="shared" si="0"/>
        <v>0.72</v>
      </c>
      <c r="D55" s="15">
        <f t="shared" si="0"/>
        <v>3.87</v>
      </c>
      <c r="E55" s="13">
        <f t="shared" si="1"/>
        <v>5.8397688310411748</v>
      </c>
      <c r="F55" s="13">
        <f t="shared" si="2"/>
        <v>0.1878297101099824</v>
      </c>
      <c r="G55" s="14">
        <f t="shared" si="3"/>
        <v>3.2162400407929748</v>
      </c>
      <c r="H55" s="16">
        <f>MIN(E55:F55:G55)</f>
        <v>0.1878297101099824</v>
      </c>
      <c r="K55" s="22"/>
      <c r="L55" s="28"/>
      <c r="M55" s="28"/>
    </row>
    <row r="56" spans="2:13" x14ac:dyDescent="0.2">
      <c r="B56" s="4">
        <v>8</v>
      </c>
      <c r="C56" s="15">
        <f t="shared" si="0"/>
        <v>1.62</v>
      </c>
      <c r="D56" s="15">
        <f t="shared" si="0"/>
        <v>9.64</v>
      </c>
      <c r="E56" s="13">
        <f t="shared" si="1"/>
        <v>0</v>
      </c>
      <c r="F56" s="13">
        <f t="shared" si="2"/>
        <v>5.9506251772397842</v>
      </c>
      <c r="G56" s="14">
        <f t="shared" si="3"/>
        <v>2.6261188091935224</v>
      </c>
      <c r="H56" s="16">
        <f>MIN(E56:F56:G56)</f>
        <v>0</v>
      </c>
    </row>
    <row r="57" spans="2:13" x14ac:dyDescent="0.2">
      <c r="B57" s="4">
        <v>9</v>
      </c>
      <c r="C57" s="15">
        <f t="shared" si="0"/>
        <v>1.1299999999999999</v>
      </c>
      <c r="D57" s="15">
        <f t="shared" si="0"/>
        <v>7.06</v>
      </c>
      <c r="E57" s="13">
        <f t="shared" si="1"/>
        <v>2.6261188091935224</v>
      </c>
      <c r="F57" s="13">
        <f t="shared" si="2"/>
        <v>3.3246293026441305</v>
      </c>
      <c r="G57" s="14">
        <f t="shared" si="3"/>
        <v>0</v>
      </c>
      <c r="H57" s="16">
        <f>MIN(E57:F57:G57)</f>
        <v>0</v>
      </c>
    </row>
    <row r="58" spans="2:13" x14ac:dyDescent="0.2">
      <c r="B58" s="4">
        <v>10</v>
      </c>
      <c r="C58" s="15">
        <f t="shared" si="0"/>
        <v>0.61</v>
      </c>
      <c r="D58" s="15">
        <f t="shared" si="0"/>
        <v>3.29</v>
      </c>
      <c r="E58" s="13">
        <f t="shared" si="1"/>
        <v>6.4298211483679699</v>
      </c>
      <c r="F58" s="13">
        <f t="shared" si="2"/>
        <v>0.49937961512260387</v>
      </c>
      <c r="G58" s="14">
        <f t="shared" si="3"/>
        <v>3.8056931037591561</v>
      </c>
      <c r="H58" s="16">
        <f>MIN(E58:F58:G58)</f>
        <v>0.49937961512260387</v>
      </c>
    </row>
    <row r="59" spans="2:13" x14ac:dyDescent="0.2">
      <c r="B59" s="4">
        <v>11</v>
      </c>
      <c r="C59" s="15">
        <f t="shared" si="0"/>
        <v>0.48</v>
      </c>
      <c r="D59" s="15">
        <f t="shared" si="0"/>
        <v>2.9</v>
      </c>
      <c r="E59" s="13">
        <f t="shared" si="1"/>
        <v>6.8357296611261624</v>
      </c>
      <c r="F59" s="13">
        <f t="shared" si="2"/>
        <v>0.8889206938754437</v>
      </c>
      <c r="G59" s="14">
        <f t="shared" si="3"/>
        <v>4.2104750325824281</v>
      </c>
      <c r="H59" s="16">
        <f>MIN(E59:F59:G59)</f>
        <v>0.8889206938754437</v>
      </c>
    </row>
    <row r="60" spans="2:13" x14ac:dyDescent="0.2">
      <c r="B60" s="4">
        <v>12</v>
      </c>
      <c r="C60" s="15">
        <f t="shared" si="0"/>
        <v>0.59</v>
      </c>
      <c r="D60" s="15">
        <f t="shared" si="0"/>
        <v>3.11</v>
      </c>
      <c r="E60" s="13">
        <f t="shared" si="1"/>
        <v>6.6107336960431269</v>
      </c>
      <c r="F60" s="13">
        <f t="shared" si="2"/>
        <v>0.67706720493611283</v>
      </c>
      <c r="G60" s="14">
        <f t="shared" si="3"/>
        <v>3.986740523284654</v>
      </c>
      <c r="H60" s="16">
        <f>MIN(E60:F60:G60)</f>
        <v>0.67706720493611283</v>
      </c>
    </row>
    <row r="65" spans="1:13" x14ac:dyDescent="0.2">
      <c r="A65" s="8" t="s">
        <v>20</v>
      </c>
      <c r="B65" s="3"/>
    </row>
    <row r="66" spans="1:13" x14ac:dyDescent="0.2">
      <c r="A66" s="31" t="s">
        <v>5</v>
      </c>
      <c r="B66" s="31" t="s">
        <v>1</v>
      </c>
      <c r="C66" s="31" t="s">
        <v>2</v>
      </c>
      <c r="D66" s="31" t="s">
        <v>3</v>
      </c>
    </row>
    <row r="67" spans="1:13" x14ac:dyDescent="0.2">
      <c r="A67" s="5">
        <v>1</v>
      </c>
      <c r="B67" s="5"/>
      <c r="C67" s="5">
        <v>1</v>
      </c>
      <c r="D67" s="5"/>
      <c r="F67" s="30" t="s">
        <v>12</v>
      </c>
      <c r="G67" s="30"/>
      <c r="H67" s="30"/>
      <c r="I67" s="30"/>
      <c r="J67" s="30"/>
      <c r="K67" s="30"/>
      <c r="L67" s="30"/>
      <c r="M67" s="30"/>
    </row>
    <row r="68" spans="1:13" x14ac:dyDescent="0.2">
      <c r="A68" s="5">
        <v>2</v>
      </c>
      <c r="B68" s="5"/>
      <c r="C68" s="5">
        <v>1</v>
      </c>
      <c r="D68" s="5" t="s">
        <v>9</v>
      </c>
      <c r="F68" s="30" t="s">
        <v>21</v>
      </c>
      <c r="G68" s="30"/>
      <c r="H68" s="30"/>
      <c r="I68" s="30"/>
      <c r="J68" s="30"/>
      <c r="K68" s="30"/>
      <c r="L68" s="30"/>
      <c r="M68" s="30"/>
    </row>
    <row r="69" spans="1:13" x14ac:dyDescent="0.2">
      <c r="A69" s="5">
        <v>3</v>
      </c>
      <c r="B69" s="5"/>
      <c r="C69" s="5">
        <v>1</v>
      </c>
      <c r="D69" s="5" t="s">
        <v>9</v>
      </c>
      <c r="F69" s="30" t="s">
        <v>22</v>
      </c>
      <c r="G69" s="30"/>
      <c r="H69" s="30"/>
      <c r="I69" s="30"/>
      <c r="J69" s="30"/>
      <c r="K69" s="30"/>
      <c r="L69" s="30"/>
      <c r="M69" s="30"/>
    </row>
    <row r="70" spans="1:13" x14ac:dyDescent="0.2">
      <c r="A70" s="5">
        <v>4</v>
      </c>
      <c r="B70" s="5"/>
      <c r="C70" s="5">
        <v>1</v>
      </c>
      <c r="D70" s="5" t="s">
        <v>9</v>
      </c>
    </row>
    <row r="71" spans="1:13" x14ac:dyDescent="0.2">
      <c r="A71" s="5">
        <v>5</v>
      </c>
      <c r="B71" s="5"/>
      <c r="C71" s="5">
        <v>1</v>
      </c>
      <c r="D71" s="5" t="s">
        <v>9</v>
      </c>
    </row>
    <row r="72" spans="1:13" x14ac:dyDescent="0.2">
      <c r="A72" s="5">
        <v>6</v>
      </c>
      <c r="B72" s="5"/>
      <c r="C72" s="5">
        <v>1</v>
      </c>
      <c r="D72" s="5"/>
    </row>
    <row r="73" spans="1:13" x14ac:dyDescent="0.2">
      <c r="A73" s="5">
        <v>7</v>
      </c>
      <c r="B73" s="5"/>
      <c r="C73" s="5">
        <v>1</v>
      </c>
      <c r="D73" s="5"/>
    </row>
    <row r="74" spans="1:13" x14ac:dyDescent="0.2">
      <c r="A74" s="5">
        <v>8</v>
      </c>
      <c r="B74" s="5">
        <v>1</v>
      </c>
      <c r="C74" s="5"/>
      <c r="D74" s="5"/>
      <c r="F74" s="36" t="s">
        <v>10</v>
      </c>
      <c r="G74" s="36"/>
    </row>
    <row r="75" spans="1:13" x14ac:dyDescent="0.2">
      <c r="A75" s="5">
        <v>9</v>
      </c>
      <c r="B75" s="5" t="s">
        <v>9</v>
      </c>
      <c r="C75" s="5"/>
      <c r="D75" s="5">
        <v>1</v>
      </c>
      <c r="F75" s="36" t="s">
        <v>11</v>
      </c>
      <c r="G75" s="36"/>
    </row>
    <row r="76" spans="1:13" x14ac:dyDescent="0.2">
      <c r="A76" s="5">
        <v>10</v>
      </c>
      <c r="B76" s="5"/>
      <c r="C76" s="5">
        <v>1</v>
      </c>
      <c r="D76" s="5"/>
      <c r="F76" s="36"/>
      <c r="G76" s="36"/>
    </row>
    <row r="77" spans="1:13" x14ac:dyDescent="0.2">
      <c r="A77" s="5">
        <v>11</v>
      </c>
      <c r="B77" s="5"/>
      <c r="C77" s="5">
        <v>1</v>
      </c>
      <c r="D77" s="5" t="s">
        <v>9</v>
      </c>
      <c r="F77" s="36"/>
      <c r="G77" s="36"/>
    </row>
    <row r="78" spans="1:13" x14ac:dyDescent="0.2">
      <c r="A78" s="5">
        <v>12</v>
      </c>
      <c r="B78" s="5"/>
      <c r="C78" s="5">
        <v>1</v>
      </c>
      <c r="D78" s="5"/>
    </row>
  </sheetData>
  <mergeCells count="14">
    <mergeCell ref="E24:G24"/>
    <mergeCell ref="A41:C41"/>
    <mergeCell ref="A24:A25"/>
    <mergeCell ref="B24:B25"/>
    <mergeCell ref="C24:D24"/>
    <mergeCell ref="G47:G48"/>
    <mergeCell ref="H47:H48"/>
    <mergeCell ref="F74:G74"/>
    <mergeCell ref="F75:G77"/>
    <mergeCell ref="A47:A48"/>
    <mergeCell ref="B47:B48"/>
    <mergeCell ref="C47:D47"/>
    <mergeCell ref="E47:E48"/>
    <mergeCell ref="F47:F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Iterasi 1</vt:lpstr>
      <vt:lpstr>iterasi 2</vt:lpstr>
      <vt:lpstr>iterasi 3</vt:lpstr>
      <vt:lpstr>iterasi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Hasil Pencarian Berdasarkan Komoditi</dc:title>
  <dc:creator>MTOP</dc:creator>
  <cp:lastModifiedBy>Microsoft Office User</cp:lastModifiedBy>
  <dcterms:created xsi:type="dcterms:W3CDTF">2015-10-05T06:01:49Z</dcterms:created>
  <dcterms:modified xsi:type="dcterms:W3CDTF">2021-10-16T15:52:17Z</dcterms:modified>
</cp:coreProperties>
</file>